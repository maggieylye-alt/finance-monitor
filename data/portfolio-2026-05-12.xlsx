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总览仪表盘" sheetId="1" state="visible" r:id="rId1"/>
    <sheet xmlns:r="http://schemas.openxmlformats.org/officeDocument/2006/relationships" name="📋持仓明细" sheetId="2" state="visible" r:id="rId2"/>
    <sheet xmlns:r="http://schemas.openxmlformats.org/officeDocument/2006/relationships" name="⚖️再平衡看板" sheetId="3" state="visible" r:id="rId3"/>
    <sheet xmlns:r="http://schemas.openxmlformats.org/officeDocument/2006/relationships" name="🚀复利模拟" sheetId="4" state="visible" r:id="rId4"/>
    <sheet xmlns:r="http://schemas.openxmlformats.org/officeDocument/2006/relationships" name="💸现金流潜力" sheetId="5" state="visible" r:id="rId5"/>
    <sheet xmlns:r="http://schemas.openxmlformats.org/officeDocument/2006/relationships" name="✅行动清单" sheetId="6" state="visible" r:id="rId6"/>
    <sheet xmlns:r="http://schemas.openxmlformats.org/officeDocument/2006/relationships" name="ℹ️数据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"/>
    <numFmt numFmtId="165" formatCode="+0.00%;-0.00%"/>
    <numFmt numFmtId="166" formatCode="¥#,##0;[Red]¥-#,##0"/>
    <numFmt numFmtId="167" formatCode="¥+#,##0;¥-#,##0"/>
  </numFmts>
  <fonts count="26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i val="1"/>
      <color rgb="00666666"/>
      <sz val="9"/>
    </font>
    <font>
      <name val="微软雅黑"/>
      <b val="1"/>
      <color rgb="001F4E79"/>
      <sz val="14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C00000"/>
      <sz val="18"/>
    </font>
    <font>
      <name val="微软雅黑"/>
      <b val="1"/>
      <color rgb="00FFFFFF"/>
      <sz val="11"/>
    </font>
    <font>
      <i val="1"/>
      <color rgb="00666666"/>
    </font>
    <font>
      <b val="1"/>
      <color rgb="00C00000"/>
    </font>
    <font>
      <color rgb="0000B050"/>
    </font>
    <font>
      <color rgb="00ED7D31"/>
    </font>
    <font>
      <name val="微软雅黑"/>
      <b val="1"/>
      <color rgb="001F4E79"/>
      <sz val="16"/>
    </font>
    <font>
      <b val="1"/>
      <color rgb="0000B050"/>
    </font>
    <font>
      <color rgb="00808080"/>
    </font>
    <font>
      <b val="1"/>
      <color rgb="00FFFFFF"/>
    </font>
    <font>
      <i val="1"/>
      <color rgb="00666666"/>
      <sz val="9"/>
    </font>
    <font>
      <b val="1"/>
      <color rgb="001F4E79"/>
      <sz val="12"/>
    </font>
    <font>
      <b val="1"/>
    </font>
    <font>
      <b val="1"/>
      <color rgb="00C00000"/>
      <sz val="12"/>
    </font>
    <font>
      <i val="1"/>
      <color rgb="00C00000"/>
    </font>
    <font>
      <b val="1"/>
      <color rgb="00C00000"/>
      <sz val="14"/>
    </font>
    <font>
      <sz val="10"/>
    </font>
    <font>
      <b val="1"/>
      <color rgb="001F4E79"/>
    </font>
    <font>
      <b val="1"/>
      <color rgb="001F4E79"/>
      <sz val="14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5" fontId="9" fillId="0" borderId="1" pivotButton="0" quotePrefix="0" xfId="0"/>
    <xf numFmtId="165" fontId="10" fillId="0" borderId="1" pivotButton="0" quotePrefix="0" xfId="0"/>
    <xf numFmtId="165" fontId="11" fillId="0" borderId="1" pivotButton="0" quotePrefix="0" xfId="0"/>
    <xf numFmtId="0" fontId="12" fillId="0" borderId="0" pivotButton="0" quotePrefix="0" xfId="0"/>
    <xf numFmtId="166" fontId="0" fillId="0" borderId="1" pivotButton="0" quotePrefix="0" xfId="0"/>
    <xf numFmtId="10" fontId="13" fillId="0" borderId="1" pivotButton="0" quotePrefix="0" xfId="0"/>
    <xf numFmtId="166" fontId="13" fillId="0" borderId="1" pivotButton="0" quotePrefix="0" xfId="0"/>
    <xf numFmtId="10" fontId="9" fillId="0" borderId="1" pivotButton="0" quotePrefix="0" xfId="0"/>
    <xf numFmtId="166" fontId="9" fillId="0" borderId="1" pivotButton="0" quotePrefix="0" xfId="0"/>
    <xf numFmtId="10" fontId="14" fillId="0" borderId="1" pivotButton="0" quotePrefix="0" xfId="0"/>
    <xf numFmtId="165" fontId="15" fillId="3" borderId="1" pivotButton="0" quotePrefix="0" xfId="0"/>
    <xf numFmtId="167" fontId="0" fillId="0" borderId="1" pivotButton="0" quotePrefix="0" xfId="0"/>
    <xf numFmtId="165" fontId="0" fillId="4" borderId="1" pivotButton="0" quotePrefix="0" xfId="0"/>
    <xf numFmtId="165" fontId="0" fillId="5" borderId="1" pivotButton="0" quotePrefix="0" xfId="0"/>
    <xf numFmtId="0" fontId="16" fillId="0" borderId="0" pivotButton="0" quotePrefix="0" xfId="0"/>
    <xf numFmtId="164" fontId="0" fillId="6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3" fillId="0" borderId="1" pivotButton="0" quotePrefix="0" xfId="0"/>
    <xf numFmtId="0" fontId="20" fillId="0" borderId="1" pivotButton="0" quotePrefix="0" xfId="0"/>
    <xf numFmtId="164" fontId="21" fillId="0" borderId="0" pivotButton="0" quotePrefix="0" xfId="0"/>
    <xf numFmtId="0" fontId="22" fillId="0" borderId="0" pivotButton="0" quotePrefix="0" xfId="0"/>
    <xf numFmtId="0" fontId="23" fillId="0" borderId="1" pivotButton="0" quotePrefix="0" xfId="0"/>
    <xf numFmtId="0" fontId="24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资产分布</a:t>
            </a:r>
          </a:p>
        </rich>
      </tx>
    </title>
    <plotArea>
      <pieChart>
        <varyColors val="1"/>
        <ser>
          <idx val="0"/>
          <order val="0"/>
          <tx>
            <strRef>
              <f>'📊总览仪表盘'!C10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'📊总览仪表盘'!$A$11:$A$20</f>
            </numRef>
          </cat>
          <val>
            <numRef>
              <f>'📊总览仪表盘'!$C$11:$C$20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复利曲线 · 60万本金 + 月投¥3000</a:t>
            </a:r>
          </a:p>
        </rich>
      </tx>
    </title>
    <plotArea>
      <lineChart>
        <grouping val="standard"/>
        <ser>
          <idx val="0"/>
          <order val="0"/>
          <tx>
            <strRef>
              <f>'🚀复利模拟'!B4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'🚀复利模拟'!$A$5:$A$35</f>
            </numRef>
          </cat>
          <val>
            <numRef>
              <f>'🚀复利模拟'!$B$5:$B$35</f>
            </numRef>
          </val>
        </ser>
        <ser>
          <idx val="1"/>
          <order val="1"/>
          <tx>
            <strRef>
              <f>'🚀复利模拟'!C4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'🚀复利模拟'!$A$5:$A$35</f>
            </numRef>
          </cat>
          <val>
            <numRef>
              <f>'🚀复利模拟'!$C$5:$C$35</f>
            </numRef>
          </val>
        </ser>
        <ser>
          <idx val="2"/>
          <order val="2"/>
          <tx>
            <strRef>
              <f>'🚀复利模拟'!D4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'🚀复利模拟'!$A$5:$A$35</f>
            </numRef>
          </cat>
          <val>
            <numRef>
              <f>'🚀复利模拟'!$D$5:$D$35</f>
            </numRef>
          </val>
        </ser>
        <ser>
          <idx val="3"/>
          <order val="3"/>
          <tx>
            <strRef>
              <f>'🚀复利模拟'!E4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'🚀复利模拟'!$A$5:$A$35</f>
            </numRef>
          </cat>
          <val>
            <numRef>
              <f>'🚀复利模拟'!$E$5:$E$35</f>
            </numRef>
          </val>
        </ser>
        <ser>
          <idx val="4"/>
          <order val="4"/>
          <tx>
            <strRef>
              <f>'🚀复利模拟'!F4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'🚀复利模拟'!$A$5:$A$35</f>
            </numRef>
          </cat>
          <val>
            <numRef>
              <f>'🚀复利模拟'!$F$5:$F$35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市值(¥)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32" customWidth="1" min="4" max="4"/>
    <col width="11.2" customWidth="1" min="5" max="5"/>
    <col width="33.6" customWidth="1" min="6" max="6"/>
    <col width="30" customWidth="1" min="7" max="7"/>
    <col width="10" customWidth="1" min="8" max="8"/>
  </cols>
  <sheetData>
    <row r="1">
      <c r="A1" s="1" t="inlineStr">
        <is>
          <t>我的投资组合 · 总览仪表盘</t>
        </is>
      </c>
    </row>
    <row r="2">
      <c r="A2" s="2" t="inlineStr">
        <is>
          <t>数据时点: 2026-05-12 20:38 · A股/ETF实时 · 基金T-1 · 黄金Au9999实时</t>
        </is>
      </c>
    </row>
    <row r="3"/>
    <row r="4">
      <c r="A4" s="3" t="inlineStr">
        <is>
          <t>KPI快照</t>
        </is>
      </c>
    </row>
    <row r="5">
      <c r="A5" s="4" t="inlineStr">
        <is>
          <t>总市值</t>
        </is>
      </c>
      <c r="C5" s="4" t="inlineStr">
        <is>
          <t>累计浮盈</t>
        </is>
      </c>
      <c r="E5" s="4" t="inlineStr">
        <is>
          <t>今日盈亏</t>
        </is>
      </c>
      <c r="G5" s="4" t="inlineStr">
        <is>
          <t>年化目标</t>
        </is>
      </c>
    </row>
    <row r="6">
      <c r="A6" s="1" t="inlineStr">
        <is>
          <t>¥604,651</t>
        </is>
      </c>
      <c r="C6" s="5" t="inlineStr">
        <is>
          <t>¥+16,900</t>
        </is>
      </c>
      <c r="E6" s="5" t="inlineStr">
        <is>
          <t>¥+1,826</t>
        </is>
      </c>
      <c r="G6" s="1" t="inlineStr">
        <is>
          <t>15.0%</t>
        </is>
      </c>
    </row>
    <row r="7">
      <c r="A7" s="6" t="inlineStr">
        <is>
          <t>所有持仓加总</t>
        </is>
      </c>
      <c r="C7" s="6" t="inlineStr">
        <is>
          <t>+2.88%</t>
        </is>
      </c>
      <c r="E7" s="6" t="inlineStr">
        <is>
          <t>+0.30%</t>
        </is>
      </c>
      <c r="G7" s="6" t="inlineStr">
        <is>
          <t>方案B·核心卫星策略</t>
        </is>
      </c>
    </row>
    <row r="8"/>
    <row r="9">
      <c r="A9" s="3" t="inlineStr">
        <is>
          <t>💎 资产类别分布(核心/卫星)</t>
        </is>
      </c>
    </row>
    <row r="10">
      <c r="A10" s="7" t="inlineStr">
        <is>
          <t>类别</t>
        </is>
      </c>
      <c r="B10" s="7" t="inlineStr">
        <is>
          <t>类型</t>
        </is>
      </c>
      <c r="C10" s="7" t="inlineStr">
        <is>
          <t>市值</t>
        </is>
      </c>
      <c r="D10" s="7" t="inlineStr">
        <is>
          <t>占比</t>
        </is>
      </c>
      <c r="E10" s="7" t="inlineStr">
        <is>
          <t>目标占比</t>
        </is>
      </c>
      <c r="F10" s="7" t="inlineStr">
        <is>
          <t>偏离</t>
        </is>
      </c>
      <c r="G10" s="7" t="inlineStr">
        <is>
          <t>建议动作</t>
        </is>
      </c>
    </row>
    <row r="11">
      <c r="A11" s="8" t="inlineStr">
        <is>
          <t>黄金积存</t>
        </is>
      </c>
      <c r="B11" s="9" t="inlineStr">
        <is>
          <t>核心-防御</t>
        </is>
      </c>
      <c r="C11" s="10" t="n">
        <v>217620.315</v>
      </c>
      <c r="D11" s="11" t="n">
        <v>0.3599107125032511</v>
      </c>
      <c r="E11" s="11" t="n">
        <v>0.18</v>
      </c>
      <c r="F11" s="12" t="n">
        <v>0.1799107125032511</v>
      </c>
      <c r="G11" s="8" t="inlineStr">
        <is>
          <t>核心仓位,继续持有</t>
        </is>
      </c>
    </row>
    <row r="12">
      <c r="A12" s="8" t="inlineStr">
        <is>
          <t>债基/固收</t>
        </is>
      </c>
      <c r="B12" s="9" t="inlineStr">
        <is>
          <t>核心-稳健</t>
        </is>
      </c>
      <c r="C12" s="10" t="n">
        <v>27523</v>
      </c>
      <c r="D12" s="11" t="n">
        <v>0.04551883191707989</v>
      </c>
      <c r="E12" s="11" t="n">
        <v>0.15</v>
      </c>
      <c r="F12" s="12" t="n">
        <v>-0.1044811680829201</v>
      </c>
      <c r="G12" s="8" t="inlineStr">
        <is>
          <t>15%目标,需加配</t>
        </is>
      </c>
    </row>
    <row r="13">
      <c r="A13" s="8" t="inlineStr">
        <is>
          <t>股票宽基</t>
        </is>
      </c>
      <c r="B13" s="9" t="inlineStr">
        <is>
          <t>核心-宽基</t>
        </is>
      </c>
      <c r="C13" s="10" t="n">
        <v>38249</v>
      </c>
      <c r="D13" s="11" t="n">
        <v>0.06325799520387998</v>
      </c>
      <c r="E13" s="11" t="n">
        <v>0.18</v>
      </c>
      <c r="F13" s="12" t="n">
        <v>-0.11674200479612</v>
      </c>
      <c r="G13" s="8" t="inlineStr">
        <is>
          <t>加配沪深300/红利</t>
        </is>
      </c>
    </row>
    <row r="14">
      <c r="A14" s="8" t="inlineStr">
        <is>
          <t>海外QDII核心</t>
        </is>
      </c>
      <c r="B14" s="9" t="inlineStr">
        <is>
          <t>核心-海外</t>
        </is>
      </c>
      <c r="C14" s="10" t="n">
        <v>52960</v>
      </c>
      <c r="D14" s="11" t="n">
        <v>0.0875877389212132</v>
      </c>
      <c r="E14" s="11" t="n">
        <v>0.09</v>
      </c>
      <c r="F14" s="13" t="n">
        <v>-0.002412261078786795</v>
      </c>
      <c r="G14" s="8" t="inlineStr">
        <is>
          <t>核心+卫星各半</t>
        </is>
      </c>
    </row>
    <row r="15">
      <c r="A15" s="8" t="inlineStr">
        <is>
          <t>平衡混合</t>
        </is>
      </c>
      <c r="B15" s="9" t="inlineStr">
        <is>
          <t>核心-平衡</t>
        </is>
      </c>
      <c r="C15" s="10" t="n">
        <v>10120</v>
      </c>
      <c r="D15" s="11" t="n">
        <v>0.01673693198418953</v>
      </c>
      <c r="E15" s="11" t="n">
        <v>0.05</v>
      </c>
      <c r="F15" s="14" t="n">
        <v>-0.03326306801581046</v>
      </c>
      <c r="G15" s="8" t="inlineStr">
        <is>
          <t>保持</t>
        </is>
      </c>
    </row>
    <row r="16">
      <c r="A16" s="8" t="inlineStr">
        <is>
          <t>商品对冲</t>
        </is>
      </c>
      <c r="B16" s="9" t="inlineStr">
        <is>
          <t>核心-商品</t>
        </is>
      </c>
      <c r="C16" s="10" t="n">
        <v>12000</v>
      </c>
      <c r="D16" s="11" t="n">
        <v>0.01984616440812988</v>
      </c>
      <c r="E16" s="11" t="n">
        <v>0.03</v>
      </c>
      <c r="F16" s="13" t="n">
        <v>-0.01015383559187012</v>
      </c>
      <c r="G16" s="8" t="inlineStr">
        <is>
          <t>白银+原油小仓</t>
        </is>
      </c>
    </row>
    <row r="17">
      <c r="A17" s="8" t="inlineStr">
        <is>
          <t>半导体进攻</t>
        </is>
      </c>
      <c r="B17" s="9" t="inlineStr">
        <is>
          <t>卫星-进攻</t>
        </is>
      </c>
      <c r="C17" s="10" t="n">
        <v>60000</v>
      </c>
      <c r="D17" s="11" t="n">
        <v>0.09923082204064942</v>
      </c>
      <c r="E17" s="11" t="n">
        <v>0.12</v>
      </c>
      <c r="F17" s="14" t="n">
        <v>-0.02076917795935058</v>
      </c>
      <c r="G17" s="8" t="inlineStr">
        <is>
          <t>已止盈14手,继续持有</t>
        </is>
      </c>
    </row>
    <row r="18">
      <c r="A18" s="8" t="inlineStr">
        <is>
          <t>新能源进攻</t>
        </is>
      </c>
      <c r="B18" s="9" t="inlineStr">
        <is>
          <t>卫星-进攻</t>
        </is>
      </c>
      <c r="C18" s="10" t="n">
        <v>45000</v>
      </c>
      <c r="D18" s="11" t="n">
        <v>0.07442311653048705</v>
      </c>
      <c r="E18" s="11" t="n">
        <v>0.03</v>
      </c>
      <c r="F18" s="14" t="n">
        <v>0.04442311653048705</v>
      </c>
      <c r="G18" s="8" t="inlineStr">
        <is>
          <t>减持,行业回调</t>
        </is>
      </c>
    </row>
    <row r="19">
      <c r="A19" s="8" t="inlineStr">
        <is>
          <t>海外卫星</t>
        </is>
      </c>
      <c r="B19" s="9" t="inlineStr">
        <is>
          <t>卫星-海外</t>
        </is>
      </c>
      <c r="C19" s="10" t="n">
        <v>52960</v>
      </c>
      <c r="D19" s="11" t="n">
        <v>0.0875877389212132</v>
      </c>
      <c r="E19" s="11" t="n">
        <v>0.09</v>
      </c>
      <c r="F19" s="13" t="n">
        <v>-0.002412261078786795</v>
      </c>
      <c r="G19" s="8" t="inlineStr">
        <is>
          <t>纳指科技超配</t>
        </is>
      </c>
    </row>
    <row r="20">
      <c r="A20" s="8" t="inlineStr">
        <is>
          <t>周期博弈</t>
        </is>
      </c>
      <c r="B20" s="9" t="inlineStr">
        <is>
          <t>卫星-周期</t>
        </is>
      </c>
      <c r="C20" s="10" t="n">
        <v>6162</v>
      </c>
      <c r="D20" s="11" t="n">
        <v>0.0101910054235747</v>
      </c>
      <c r="E20" s="11" t="n">
        <v>0.03</v>
      </c>
      <c r="F20" s="13" t="n">
        <v>-0.01980899457642531</v>
      </c>
      <c r="G20" s="8" t="inlineStr">
        <is>
          <t>紫金/有色</t>
        </is>
      </c>
    </row>
  </sheetData>
  <mergeCells count="14">
    <mergeCell ref="E6:F6"/>
    <mergeCell ref="C6:D6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G6:H6"/>
    <mergeCell ref="A1:H1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0" customWidth="1" min="4" max="4"/>
    <col width="10" customWidth="1" min="5" max="5"/>
    <col width="11.2" customWidth="1" min="6" max="6"/>
    <col width="10" customWidth="1" min="7" max="7"/>
    <col width="28.8" customWidth="1" min="8" max="8"/>
    <col width="10" customWidth="1" min="9" max="9"/>
    <col width="28.8" customWidth="1" min="10" max="10"/>
    <col width="30.4" customWidth="1" min="11" max="11"/>
    <col width="33.6" customWidth="1" min="12" max="12"/>
    <col width="33.6" customWidth="1" min="13" max="13"/>
    <col width="30.4" customWidth="1" min="14" max="14"/>
    <col width="22" customWidth="1" min="15" max="15"/>
  </cols>
  <sheetData>
    <row r="1">
      <c r="A1" s="15" t="inlineStr">
        <is>
          <t>完整持仓明细 · 共49只标的</t>
        </is>
      </c>
    </row>
    <row r="2"/>
    <row r="3" ht="22" customHeight="1">
      <c r="A3" s="7" t="inlineStr">
        <is>
          <t>#</t>
        </is>
      </c>
      <c r="B3" s="7" t="inlineStr">
        <is>
          <t>名称</t>
        </is>
      </c>
      <c r="C3" s="7" t="inlineStr">
        <is>
          <t>代码</t>
        </is>
      </c>
      <c r="D3" s="7" t="inlineStr">
        <is>
          <t>类型</t>
        </is>
      </c>
      <c r="E3" s="7" t="inlineStr">
        <is>
          <t>板块</t>
        </is>
      </c>
      <c r="F3" s="7" t="inlineStr">
        <is>
          <t>平台</t>
        </is>
      </c>
      <c r="G3" s="7" t="inlineStr">
        <is>
          <t>份额/克</t>
        </is>
      </c>
      <c r="H3" s="7" t="inlineStr">
        <is>
          <t>成本价</t>
        </is>
      </c>
      <c r="I3" s="7" t="inlineStr">
        <is>
          <t>现价</t>
        </is>
      </c>
      <c r="J3" s="7" t="inlineStr">
        <is>
          <t>市值(¥)</t>
        </is>
      </c>
      <c r="K3" s="7" t="inlineStr">
        <is>
          <t>累计浮盈(¥)</t>
        </is>
      </c>
      <c r="L3" s="7" t="inlineStr">
        <is>
          <t>浮盈%</t>
        </is>
      </c>
      <c r="M3" s="7" t="inlineStr">
        <is>
          <t>今日涨跌%</t>
        </is>
      </c>
      <c r="N3" s="7" t="inlineStr">
        <is>
          <t>今日盈亏(¥)</t>
        </is>
      </c>
      <c r="O3" s="7" t="inlineStr">
        <is>
          <t>建议</t>
        </is>
      </c>
    </row>
    <row r="4">
      <c r="A4" s="8" t="n">
        <v>1</v>
      </c>
      <c r="B4" s="8" t="inlineStr">
        <is>
          <t>恒生科技ETF大成</t>
        </is>
      </c>
      <c r="C4" s="8" t="inlineStr">
        <is>
          <t>513580</t>
        </is>
      </c>
      <c r="D4" s="8" t="inlineStr">
        <is>
          <t>ETF/股票</t>
        </is>
      </c>
      <c r="E4" s="8" t="inlineStr">
        <is>
          <t>半导体</t>
        </is>
      </c>
      <c r="F4" s="8" t="inlineStr">
        <is>
          <t>平安证券</t>
        </is>
      </c>
      <c r="G4" s="8" t="n">
        <v>32500</v>
      </c>
      <c r="H4" s="8" t="n">
        <v>0.773</v>
      </c>
      <c r="I4" s="8" t="n">
        <v>0.642</v>
      </c>
      <c r="J4" s="16" t="n">
        <v>20865</v>
      </c>
      <c r="K4" s="16" t="n">
        <v>-4257.5</v>
      </c>
      <c r="L4" s="17" t="n">
        <v>-0.1695</v>
      </c>
      <c r="M4" s="17" t="n">
        <v>-0.009300000000000001</v>
      </c>
      <c r="N4" s="18" t="n">
        <v>-195</v>
      </c>
      <c r="O4" s="8" t="inlineStr">
        <is>
          <t>观望,等待恒科破位再处理</t>
        </is>
      </c>
    </row>
    <row r="5">
      <c r="A5" s="8" t="n">
        <v>2</v>
      </c>
      <c r="B5" s="8" t="inlineStr">
        <is>
          <t>芯片ETF华夏</t>
        </is>
      </c>
      <c r="C5" s="8" t="inlineStr">
        <is>
          <t>159995</t>
        </is>
      </c>
      <c r="D5" s="8" t="inlineStr">
        <is>
          <t>ETF/股票</t>
        </is>
      </c>
      <c r="E5" s="8" t="inlineStr">
        <is>
          <t>半导体</t>
        </is>
      </c>
      <c r="F5" s="8" t="inlineStr">
        <is>
          <t>平安证券</t>
        </is>
      </c>
      <c r="G5" s="8" t="n">
        <v>4400</v>
      </c>
      <c r="H5" s="8" t="n">
        <v>1.694</v>
      </c>
      <c r="I5" s="8" t="n">
        <v>2.326</v>
      </c>
      <c r="J5" s="16" t="n">
        <v>10234.4</v>
      </c>
      <c r="K5" s="16" t="n">
        <v>2780.8</v>
      </c>
      <c r="L5" s="19" t="n">
        <v>0.3731</v>
      </c>
      <c r="M5" s="19" t="n">
        <v>0.006500000000000001</v>
      </c>
      <c r="N5" s="20" t="n">
        <v>66</v>
      </c>
      <c r="O5" s="8" t="inlineStr">
        <is>
          <t>已止盈14手,继续持有</t>
        </is>
      </c>
    </row>
    <row r="6">
      <c r="A6" s="8" t="n">
        <v>3</v>
      </c>
      <c r="B6" s="8" t="inlineStr">
        <is>
          <t>游戏ETF</t>
        </is>
      </c>
      <c r="C6" s="8" t="inlineStr">
        <is>
          <t>516010</t>
        </is>
      </c>
      <c r="D6" s="8" t="inlineStr">
        <is>
          <t>ETF/股票</t>
        </is>
      </c>
      <c r="E6" s="8" t="inlineStr">
        <is>
          <t>半导体</t>
        </is>
      </c>
      <c r="F6" s="8" t="inlineStr">
        <is>
          <t>平安证券</t>
        </is>
      </c>
      <c r="G6" s="8" t="n">
        <v>18000</v>
      </c>
      <c r="H6" s="8" t="n">
        <v>1.642</v>
      </c>
      <c r="I6" s="8" t="n">
        <v>1.302</v>
      </c>
      <c r="J6" s="16" t="n">
        <v>23436</v>
      </c>
      <c r="K6" s="16" t="n">
        <v>-6120</v>
      </c>
      <c r="L6" s="17" t="n">
        <v>-0.2071</v>
      </c>
      <c r="M6" s="17" t="n">
        <v>-0.0181</v>
      </c>
      <c r="N6" s="18" t="n">
        <v>-432</v>
      </c>
      <c r="O6" s="8" t="inlineStr">
        <is>
          <t>持有(行业回暖)</t>
        </is>
      </c>
    </row>
    <row r="7">
      <c r="A7" s="8" t="n">
        <v>4</v>
      </c>
      <c r="B7" s="8" t="inlineStr">
        <is>
          <t>中概互联ETF</t>
        </is>
      </c>
      <c r="C7" s="8" t="inlineStr">
        <is>
          <t>513050</t>
        </is>
      </c>
      <c r="D7" s="8" t="inlineStr">
        <is>
          <t>ETF/股票</t>
        </is>
      </c>
      <c r="E7" s="8" t="inlineStr">
        <is>
          <t>半导体</t>
        </is>
      </c>
      <c r="F7" s="8" t="inlineStr">
        <is>
          <t>平安证券</t>
        </is>
      </c>
      <c r="G7" s="8" t="n">
        <v>5600</v>
      </c>
      <c r="H7" s="8" t="n">
        <v>1.572</v>
      </c>
      <c r="I7" s="8" t="n">
        <v>1.203</v>
      </c>
      <c r="J7" s="16" t="n">
        <v>6736.8</v>
      </c>
      <c r="K7" s="16" t="n">
        <v>-2066.4</v>
      </c>
      <c r="L7" s="17" t="n">
        <v>-0.2347</v>
      </c>
      <c r="M7" s="17" t="n">
        <v>-0.0091</v>
      </c>
      <c r="N7" s="18" t="n">
        <v>-61.6</v>
      </c>
      <c r="O7" s="8" t="inlineStr">
        <is>
          <t>关注</t>
        </is>
      </c>
    </row>
    <row r="8">
      <c r="A8" s="8" t="n">
        <v>5</v>
      </c>
      <c r="B8" s="8" t="inlineStr">
        <is>
          <t>纳指ETF广发</t>
        </is>
      </c>
      <c r="C8" s="8" t="inlineStr">
        <is>
          <t>159941</t>
        </is>
      </c>
      <c r="D8" s="8" t="inlineStr">
        <is>
          <t>ETF/股票</t>
        </is>
      </c>
      <c r="E8" s="8" t="inlineStr">
        <is>
          <t>半导体</t>
        </is>
      </c>
      <c r="F8" s="8" t="inlineStr">
        <is>
          <t>平安证券</t>
        </is>
      </c>
      <c r="G8" s="8" t="n">
        <v>3000</v>
      </c>
      <c r="H8" s="8" t="n">
        <v>1.343</v>
      </c>
      <c r="I8" s="8" t="n">
        <v>1.558</v>
      </c>
      <c r="J8" s="16" t="n">
        <v>4674</v>
      </c>
      <c r="K8" s="16" t="n">
        <v>645</v>
      </c>
      <c r="L8" s="19" t="n">
        <v>0.1601</v>
      </c>
      <c r="M8" s="17" t="n">
        <v>-0.012</v>
      </c>
      <c r="N8" s="18" t="n">
        <v>-57</v>
      </c>
      <c r="O8" s="8" t="inlineStr">
        <is>
          <t>持有</t>
        </is>
      </c>
    </row>
    <row r="9">
      <c r="A9" s="8" t="n">
        <v>6</v>
      </c>
      <c r="B9" s="8" t="inlineStr">
        <is>
          <t>沪深300ETF华泰柏瑞</t>
        </is>
      </c>
      <c r="C9" s="8" t="inlineStr">
        <is>
          <t>510300</t>
        </is>
      </c>
      <c r="D9" s="8" t="inlineStr">
        <is>
          <t>ETF/股票</t>
        </is>
      </c>
      <c r="E9" s="8" t="inlineStr">
        <is>
          <t>半导体</t>
        </is>
      </c>
      <c r="F9" s="8" t="inlineStr">
        <is>
          <t>平安证券</t>
        </is>
      </c>
      <c r="G9" s="8" t="n">
        <v>300</v>
      </c>
      <c r="H9" s="8" t="n">
        <v>3.722</v>
      </c>
      <c r="I9" s="8" t="n">
        <v>4.963</v>
      </c>
      <c r="J9" s="16" t="n">
        <v>1488.9</v>
      </c>
      <c r="K9" s="16" t="n">
        <v>372.3</v>
      </c>
      <c r="L9" s="19" t="n">
        <v>0.3334</v>
      </c>
      <c r="M9" s="17" t="n">
        <v>-0.0005999999999999999</v>
      </c>
      <c r="N9" s="18" t="n">
        <v>-0.9</v>
      </c>
      <c r="O9" s="8" t="inlineStr">
        <is>
          <t>持有</t>
        </is>
      </c>
    </row>
    <row r="10">
      <c r="A10" s="8" t="n">
        <v>7</v>
      </c>
      <c r="B10" s="8" t="inlineStr">
        <is>
          <t>科创50ETF华夏</t>
        </is>
      </c>
      <c r="C10" s="8" t="inlineStr">
        <is>
          <t>588000</t>
        </is>
      </c>
      <c r="D10" s="8" t="inlineStr">
        <is>
          <t>ETF/股票</t>
        </is>
      </c>
      <c r="E10" s="8" t="inlineStr">
        <is>
          <t>半导体</t>
        </is>
      </c>
      <c r="F10" s="8" t="inlineStr">
        <is>
          <t>平安证券</t>
        </is>
      </c>
      <c r="G10" s="8" t="n">
        <v>3100</v>
      </c>
      <c r="H10" s="8" t="n">
        <v>1.48</v>
      </c>
      <c r="I10" s="8" t="n">
        <v>1.816</v>
      </c>
      <c r="J10" s="16" t="n">
        <v>5629.6</v>
      </c>
      <c r="K10" s="16" t="n">
        <v>1041.6</v>
      </c>
      <c r="L10" s="19" t="n">
        <v>0.227</v>
      </c>
      <c r="M10" s="19" t="n">
        <v>0.0028</v>
      </c>
      <c r="N10" s="20" t="n">
        <v>15.5</v>
      </c>
      <c r="O10" s="8" t="inlineStr">
        <is>
          <t>持有</t>
        </is>
      </c>
    </row>
    <row r="11">
      <c r="A11" s="8" t="n">
        <v>8</v>
      </c>
      <c r="B11" s="8" t="inlineStr">
        <is>
          <t>黄金ETF华安</t>
        </is>
      </c>
      <c r="C11" s="8" t="inlineStr">
        <is>
          <t>518880</t>
        </is>
      </c>
      <c r="D11" s="8" t="inlineStr">
        <is>
          <t>ETF/股票</t>
        </is>
      </c>
      <c r="E11" s="8" t="inlineStr">
        <is>
          <t>半导体</t>
        </is>
      </c>
      <c r="F11" s="8" t="inlineStr">
        <is>
          <t>平安证券</t>
        </is>
      </c>
      <c r="G11" s="8" t="n">
        <v>1100</v>
      </c>
      <c r="H11" s="8" t="n">
        <v>9.095000000000001</v>
      </c>
      <c r="I11" s="8" t="n">
        <v>9.805999999999999</v>
      </c>
      <c r="J11" s="16" t="n">
        <v>10786.6</v>
      </c>
      <c r="K11" s="16" t="n">
        <v>782.1</v>
      </c>
      <c r="L11" s="19" t="n">
        <v>0.07820000000000001</v>
      </c>
      <c r="M11" s="19" t="n">
        <v>0.0033</v>
      </c>
      <c r="N11" s="20" t="n">
        <v>35.2</v>
      </c>
      <c r="O11" s="8" t="inlineStr">
        <is>
          <t>持有</t>
        </is>
      </c>
    </row>
    <row r="12">
      <c r="A12" s="8" t="n">
        <v>9</v>
      </c>
      <c r="B12" s="8" t="inlineStr">
        <is>
          <t>国投白银LOF</t>
        </is>
      </c>
      <c r="C12" s="8" t="inlineStr">
        <is>
          <t>161226</t>
        </is>
      </c>
      <c r="D12" s="8" t="inlineStr">
        <is>
          <t>ETF/股票</t>
        </is>
      </c>
      <c r="E12" s="8" t="inlineStr">
        <is>
          <t>消费</t>
        </is>
      </c>
      <c r="F12" s="8" t="inlineStr">
        <is>
          <t>平安证券</t>
        </is>
      </c>
      <c r="G12" s="8" t="n">
        <v>794</v>
      </c>
      <c r="H12" s="8" t="n">
        <v>4.829</v>
      </c>
      <c r="I12" s="8" t="n"/>
      <c r="J12" s="16" t="n"/>
      <c r="K12" s="16" t="n"/>
      <c r="L12" s="11" t="n"/>
      <c r="M12" s="11" t="n"/>
      <c r="N12" s="16" t="n"/>
      <c r="O12" s="8" t="inlineStr">
        <is>
          <t>关注</t>
        </is>
      </c>
    </row>
    <row r="13">
      <c r="A13" s="8" t="n">
        <v>10</v>
      </c>
      <c r="B13" s="8" t="inlineStr">
        <is>
          <t>比亚迪</t>
        </is>
      </c>
      <c r="C13" s="8" t="inlineStr">
        <is>
          <t>002594</t>
        </is>
      </c>
      <c r="D13" s="8" t="inlineStr">
        <is>
          <t>ETF/股票</t>
        </is>
      </c>
      <c r="E13" s="8" t="inlineStr">
        <is>
          <t>消费</t>
        </is>
      </c>
      <c r="F13" s="8" t="inlineStr">
        <is>
          <t>平安证券</t>
        </is>
      </c>
      <c r="G13" s="8" t="n">
        <v>200</v>
      </c>
      <c r="H13" s="8" t="n">
        <v>99.261</v>
      </c>
      <c r="I13" s="8" t="n">
        <v>99.23</v>
      </c>
      <c r="J13" s="16" t="n">
        <v>19846</v>
      </c>
      <c r="K13" s="16" t="n">
        <v>-6.2</v>
      </c>
      <c r="L13" s="17" t="n">
        <v>-0.0003</v>
      </c>
      <c r="M13" s="17" t="n">
        <v>-0.012</v>
      </c>
      <c r="N13" s="18" t="n">
        <v>-241.04</v>
      </c>
      <c r="O13" s="8" t="inlineStr">
        <is>
          <t>关注</t>
        </is>
      </c>
    </row>
    <row r="14">
      <c r="A14" s="8" t="n">
        <v>11</v>
      </c>
      <c r="B14" s="8" t="inlineStr">
        <is>
          <t>紫金矿业</t>
        </is>
      </c>
      <c r="C14" s="8" t="inlineStr">
        <is>
          <t>601899</t>
        </is>
      </c>
      <c r="D14" s="8" t="inlineStr">
        <is>
          <t>ETF/股票</t>
        </is>
      </c>
      <c r="E14" s="8" t="inlineStr">
        <is>
          <t>消费</t>
        </is>
      </c>
      <c r="F14" s="8" t="inlineStr">
        <is>
          <t>平安证券</t>
        </is>
      </c>
      <c r="G14" s="8" t="n">
        <v>400</v>
      </c>
      <c r="H14" s="8" t="n">
        <v>33.379</v>
      </c>
      <c r="I14" s="8" t="n">
        <v>34.58</v>
      </c>
      <c r="J14" s="16" t="n">
        <v>13832</v>
      </c>
      <c r="K14" s="16" t="n">
        <v>480.4</v>
      </c>
      <c r="L14" s="19" t="n">
        <v>0.036</v>
      </c>
      <c r="M14" s="19" t="n">
        <v>0.009000000000000001</v>
      </c>
      <c r="N14" s="20" t="n">
        <v>123.38</v>
      </c>
      <c r="O14" s="8" t="inlineStr">
        <is>
          <t>持有</t>
        </is>
      </c>
    </row>
    <row r="15">
      <c r="A15" s="8" t="n">
        <v>12</v>
      </c>
      <c r="B15" s="8" t="inlineStr">
        <is>
          <t>中国铝业</t>
        </is>
      </c>
      <c r="C15" s="8" t="inlineStr">
        <is>
          <t>601600</t>
        </is>
      </c>
      <c r="D15" s="8" t="inlineStr">
        <is>
          <t>ETF/股票</t>
        </is>
      </c>
      <c r="E15" s="8" t="inlineStr">
        <is>
          <t>消费</t>
        </is>
      </c>
      <c r="F15" s="8" t="inlineStr">
        <is>
          <t>平安证券</t>
        </is>
      </c>
      <c r="G15" s="8" t="n">
        <v>400</v>
      </c>
      <c r="H15" s="8" t="n">
        <v>15.023</v>
      </c>
      <c r="I15" s="8" t="n">
        <v>11.68</v>
      </c>
      <c r="J15" s="16" t="n">
        <v>4672</v>
      </c>
      <c r="K15" s="16" t="n">
        <v>-1337.2</v>
      </c>
      <c r="L15" s="17" t="n">
        <v>-0.2225</v>
      </c>
      <c r="M15" s="17" t="n">
        <v>-0.008500000000000001</v>
      </c>
      <c r="N15" s="18" t="n">
        <v>-40.05</v>
      </c>
      <c r="O15" s="8" t="inlineStr">
        <is>
          <t>关注</t>
        </is>
      </c>
    </row>
    <row r="16">
      <c r="A16" s="8" t="n">
        <v>13</v>
      </c>
      <c r="B16" s="8" t="inlineStr">
        <is>
          <t>中国核电</t>
        </is>
      </c>
      <c r="C16" s="8" t="inlineStr">
        <is>
          <t>601985</t>
        </is>
      </c>
      <c r="D16" s="8" t="inlineStr">
        <is>
          <t>ETF/股票</t>
        </is>
      </c>
      <c r="E16" s="8" t="inlineStr">
        <is>
          <t>消费</t>
        </is>
      </c>
      <c r="F16" s="8" t="inlineStr">
        <is>
          <t>平安证券</t>
        </is>
      </c>
      <c r="G16" s="8" t="n">
        <v>500</v>
      </c>
      <c r="H16" s="8" t="n">
        <v>8.550000000000001</v>
      </c>
      <c r="I16" s="8" t="n">
        <v>9.23</v>
      </c>
      <c r="J16" s="16" t="n">
        <v>4615</v>
      </c>
      <c r="K16" s="16" t="n">
        <v>340</v>
      </c>
      <c r="L16" s="19" t="n">
        <v>0.0795</v>
      </c>
      <c r="M16" s="19" t="n">
        <v>0.0044</v>
      </c>
      <c r="N16" s="20" t="n">
        <v>20.22</v>
      </c>
      <c r="O16" s="8" t="inlineStr">
        <is>
          <t>持有</t>
        </is>
      </c>
    </row>
    <row r="17">
      <c r="A17" s="8" t="n">
        <v>14</v>
      </c>
      <c r="B17" s="8" t="inlineStr">
        <is>
          <t>富国上证科创板芯片ETF联接C</t>
        </is>
      </c>
      <c r="C17" s="8" t="inlineStr">
        <is>
          <t>012414</t>
        </is>
      </c>
      <c r="D17" s="8" t="inlineStr">
        <is>
          <t>公募基金</t>
        </is>
      </c>
      <c r="E17" s="8" t="inlineStr">
        <is>
          <t>半导体</t>
        </is>
      </c>
      <c r="F17" s="8" t="inlineStr">
        <is>
          <t>天天基金/蚂蚁</t>
        </is>
      </c>
      <c r="G17" s="8" t="inlineStr">
        <is>
          <t>-</t>
        </is>
      </c>
      <c r="H17" s="8" t="n">
        <v>3513.199237982137</v>
      </c>
      <c r="I17" s="8" t="n">
        <v>0.6119</v>
      </c>
      <c r="J17" s="16" t="n">
        <v>4733.333333333333</v>
      </c>
      <c r="K17" s="16" t="n">
        <v>1220.134095351196</v>
      </c>
      <c r="L17" s="19" t="n">
        <v>0.3472999999999999</v>
      </c>
      <c r="M17" s="17" t="n">
        <v>-0.0016</v>
      </c>
      <c r="N17" s="18" t="n">
        <v>-7.573333333333333</v>
      </c>
      <c r="O17" s="8" t="inlineStr">
        <is>
          <t>持有</t>
        </is>
      </c>
    </row>
    <row r="18">
      <c r="A18" s="8" t="n">
        <v>15</v>
      </c>
      <c r="B18" s="8" t="inlineStr">
        <is>
          <t>华夏科创50ETF联接C</t>
        </is>
      </c>
      <c r="C18" s="8" t="inlineStr">
        <is>
          <t>011609</t>
        </is>
      </c>
      <c r="D18" s="8" t="inlineStr">
        <is>
          <t>公募基金</t>
        </is>
      </c>
      <c r="E18" s="8" t="inlineStr">
        <is>
          <t>半导体</t>
        </is>
      </c>
      <c r="F18" s="8" t="inlineStr">
        <is>
          <t>天天基金/蚂蚁</t>
        </is>
      </c>
      <c r="G18" s="8" t="inlineStr">
        <is>
          <t>-</t>
        </is>
      </c>
      <c r="H18" s="8" t="n">
        <v>3981.606101390758</v>
      </c>
      <c r="I18" s="8" t="n">
        <v>1.3098</v>
      </c>
      <c r="J18" s="16" t="n">
        <v>4733.333333333333</v>
      </c>
      <c r="K18" s="16" t="n">
        <v>751.7272319425751</v>
      </c>
      <c r="L18" s="19" t="n">
        <v>0.1888</v>
      </c>
      <c r="M18" s="19" t="n">
        <v>0.0442</v>
      </c>
      <c r="N18" s="20" t="n">
        <v>209.2133333333333</v>
      </c>
      <c r="O18" s="8" t="inlineStr">
        <is>
          <t>持有</t>
        </is>
      </c>
    </row>
    <row r="19">
      <c r="A19" s="8" t="n">
        <v>16</v>
      </c>
      <c r="B19" s="8" t="inlineStr">
        <is>
          <t>华夏国证半导体芯片ETF联接C</t>
        </is>
      </c>
      <c r="C19" s="8" t="inlineStr">
        <is>
          <t>008888</t>
        </is>
      </c>
      <c r="D19" s="8" t="inlineStr">
        <is>
          <t>公募基金</t>
        </is>
      </c>
      <c r="E19" s="8" t="inlineStr">
        <is>
          <t>半导体</t>
        </is>
      </c>
      <c r="F19" s="8" t="inlineStr">
        <is>
          <t>天天基金/蚂蚁</t>
        </is>
      </c>
      <c r="G19" s="8" t="inlineStr">
        <is>
          <t>-</t>
        </is>
      </c>
      <c r="H19" s="8" t="n">
        <v>3679.233061277367</v>
      </c>
      <c r="I19" s="8" t="n">
        <v>1.9648</v>
      </c>
      <c r="J19" s="16" t="n">
        <v>4733.333333333333</v>
      </c>
      <c r="K19" s="16" t="n">
        <v>1054.100272055966</v>
      </c>
      <c r="L19" s="19" t="n">
        <v>0.2865</v>
      </c>
      <c r="M19" s="19" t="n">
        <v>0.0594</v>
      </c>
      <c r="N19" s="20" t="n">
        <v>281.16</v>
      </c>
      <c r="O19" s="8" t="inlineStr">
        <is>
          <t>持有</t>
        </is>
      </c>
    </row>
    <row r="20">
      <c r="A20" s="8" t="n">
        <v>17</v>
      </c>
      <c r="B20" s="8" t="inlineStr">
        <is>
          <t>永赢半导体产业智选C</t>
        </is>
      </c>
      <c r="C20" s="8" t="inlineStr">
        <is>
          <t>018124</t>
        </is>
      </c>
      <c r="D20" s="8" t="inlineStr">
        <is>
          <t>公募基金</t>
        </is>
      </c>
      <c r="E20" s="8" t="inlineStr">
        <is>
          <t>半导体</t>
        </is>
      </c>
      <c r="F20" s="8" t="inlineStr">
        <is>
          <t>天天基金/蚂蚁</t>
        </is>
      </c>
      <c r="G20" s="8" t="inlineStr">
        <is>
          <t>-</t>
        </is>
      </c>
      <c r="H20" s="8" t="n">
        <v>3820.901948121838</v>
      </c>
      <c r="I20" s="8" t="n"/>
      <c r="J20" s="16" t="n">
        <v>4733.333333333333</v>
      </c>
      <c r="K20" s="16" t="n">
        <v>912.4313852114947</v>
      </c>
      <c r="L20" s="19" t="n">
        <v>0.2388</v>
      </c>
      <c r="M20" s="11" t="inlineStr"/>
      <c r="N20" s="16" t="inlineStr"/>
      <c r="O20" s="8" t="inlineStr">
        <is>
          <t>持有</t>
        </is>
      </c>
    </row>
    <row r="21">
      <c r="A21" s="8" t="n">
        <v>18</v>
      </c>
      <c r="B21" s="8" t="inlineStr">
        <is>
          <t>永赢科技智选C·光模块</t>
        </is>
      </c>
      <c r="C21" s="8" t="inlineStr">
        <is>
          <t>022365</t>
        </is>
      </c>
      <c r="D21" s="8" t="inlineStr">
        <is>
          <t>公募基金</t>
        </is>
      </c>
      <c r="E21" s="8" t="inlineStr">
        <is>
          <t>半导体</t>
        </is>
      </c>
      <c r="F21" s="8" t="inlineStr">
        <is>
          <t>天天基金/蚂蚁</t>
        </is>
      </c>
      <c r="G21" s="8" t="inlineStr">
        <is>
          <t>-</t>
        </is>
      </c>
      <c r="H21" s="8" t="n">
        <v>3486.031325182893</v>
      </c>
      <c r="I21" s="8" t="n">
        <v>5.1319</v>
      </c>
      <c r="J21" s="16" t="n">
        <v>4733.333333333333</v>
      </c>
      <c r="K21" s="16" t="n">
        <v>1247.30200815044</v>
      </c>
      <c r="L21" s="19" t="n">
        <v>0.3578</v>
      </c>
      <c r="M21" s="19" t="n">
        <v>0.0323</v>
      </c>
      <c r="N21" s="20" t="n">
        <v>152.8866666666667</v>
      </c>
      <c r="O21" s="8" t="inlineStr">
        <is>
          <t>已止盈1/3,继续持有</t>
        </is>
      </c>
    </row>
    <row r="22">
      <c r="A22" s="8" t="n">
        <v>19</v>
      </c>
      <c r="B22" s="8" t="inlineStr">
        <is>
          <t>华泰柏瑞中韩半导体ETF联接</t>
        </is>
      </c>
      <c r="C22" s="8" t="inlineStr">
        <is>
          <t>014424</t>
        </is>
      </c>
      <c r="D22" s="8" t="inlineStr">
        <is>
          <t>公募基金</t>
        </is>
      </c>
      <c r="E22" s="8" t="inlineStr">
        <is>
          <t>半导体</t>
        </is>
      </c>
      <c r="F22" s="8" t="inlineStr">
        <is>
          <t>天天基金/蚂蚁</t>
        </is>
      </c>
      <c r="G22" s="8" t="inlineStr">
        <is>
          <t>-</t>
        </is>
      </c>
      <c r="H22" s="8" t="n">
        <v>3405.275779376498</v>
      </c>
      <c r="I22" s="8" t="n">
        <v>0.9034</v>
      </c>
      <c r="J22" s="16" t="n">
        <v>4733.333333333333</v>
      </c>
      <c r="K22" s="16" t="n">
        <v>1328.057553956835</v>
      </c>
      <c r="L22" s="19" t="n">
        <v>0.39</v>
      </c>
      <c r="M22" s="19" t="n">
        <v>0.0004</v>
      </c>
      <c r="N22" s="20" t="n">
        <v>1.893333333333333</v>
      </c>
      <c r="O22" s="8" t="inlineStr">
        <is>
          <t>持有</t>
        </is>
      </c>
    </row>
    <row r="23">
      <c r="A23" s="8" t="n">
        <v>20</v>
      </c>
      <c r="B23" s="8" t="inlineStr">
        <is>
          <t>天弘科创创业50ETF联接C</t>
        </is>
      </c>
      <c r="C23" s="8" t="inlineStr">
        <is>
          <t>012860</t>
        </is>
      </c>
      <c r="D23" s="8" t="inlineStr">
        <is>
          <t>公募基金</t>
        </is>
      </c>
      <c r="E23" s="8" t="inlineStr">
        <is>
          <t>半导体</t>
        </is>
      </c>
      <c r="F23" s="8" t="inlineStr">
        <is>
          <t>天天基金/蚂蚁</t>
        </is>
      </c>
      <c r="G23" s="8" t="inlineStr">
        <is>
          <t>-</t>
        </is>
      </c>
      <c r="H23" s="8" t="n">
        <v>3763.782866836302</v>
      </c>
      <c r="I23" s="8" t="n"/>
      <c r="J23" s="16" t="n">
        <v>4733.333333333333</v>
      </c>
      <c r="K23" s="16" t="n">
        <v>969.5504664970313</v>
      </c>
      <c r="L23" s="19" t="n">
        <v>0.2576</v>
      </c>
      <c r="M23" s="11" t="inlineStr"/>
      <c r="N23" s="16" t="inlineStr"/>
      <c r="O23" s="8" t="inlineStr">
        <is>
          <t>持有</t>
        </is>
      </c>
    </row>
    <row r="24">
      <c r="A24" s="8" t="n">
        <v>21</v>
      </c>
      <c r="B24" s="8" t="inlineStr">
        <is>
          <t>申万菱信新能源汽车混合A</t>
        </is>
      </c>
      <c r="C24" s="8" t="inlineStr">
        <is>
          <t>011213</t>
        </is>
      </c>
      <c r="D24" s="8" t="inlineStr">
        <is>
          <t>公募基金</t>
        </is>
      </c>
      <c r="E24" s="8" t="inlineStr">
        <is>
          <t>新能源</t>
        </is>
      </c>
      <c r="F24" s="8" t="inlineStr">
        <is>
          <t>天天基金/蚂蚁</t>
        </is>
      </c>
      <c r="G24" s="8" t="inlineStr">
        <is>
          <t>-</t>
        </is>
      </c>
      <c r="H24" s="8" t="n">
        <v>2577.085715322771</v>
      </c>
      <c r="I24" s="8" t="n">
        <v>1.016</v>
      </c>
      <c r="J24" s="16" t="n">
        <v>4733.333333333333</v>
      </c>
      <c r="K24" s="16" t="n">
        <v>2156.247618010562</v>
      </c>
      <c r="L24" s="19" t="n">
        <v>0.8367</v>
      </c>
      <c r="M24" s="19" t="n">
        <v>0.0176</v>
      </c>
      <c r="N24" s="20" t="n">
        <v>83.30666666666667</v>
      </c>
      <c r="O24" s="8" t="inlineStr">
        <is>
          <t>持有</t>
        </is>
      </c>
    </row>
    <row r="25">
      <c r="A25" s="8" t="n">
        <v>22</v>
      </c>
      <c r="B25" s="8" t="inlineStr">
        <is>
          <t>申万菱信智能驱动股票A</t>
        </is>
      </c>
      <c r="C25" s="8" t="inlineStr">
        <is>
          <t>502090</t>
        </is>
      </c>
      <c r="D25" s="8" t="inlineStr">
        <is>
          <t>公募基金</t>
        </is>
      </c>
      <c r="E25" s="8" t="inlineStr">
        <is>
          <t>新能源</t>
        </is>
      </c>
      <c r="F25" s="8" t="inlineStr">
        <is>
          <t>天天基金/蚂蚁</t>
        </is>
      </c>
      <c r="G25" s="8" t="inlineStr">
        <is>
          <t>-</t>
        </is>
      </c>
      <c r="H25" s="8" t="n">
        <v>2732.871439568899</v>
      </c>
      <c r="I25" s="8" t="n"/>
      <c r="J25" s="16" t="n">
        <v>4733.333333333333</v>
      </c>
      <c r="K25" s="16" t="n">
        <v>2000.461893764434</v>
      </c>
      <c r="L25" s="19" t="n">
        <v>0.732</v>
      </c>
      <c r="M25" s="11" t="inlineStr"/>
      <c r="N25" s="16" t="inlineStr"/>
      <c r="O25" s="8" t="inlineStr">
        <is>
          <t>持有</t>
        </is>
      </c>
    </row>
    <row r="26">
      <c r="A26" s="8" t="n">
        <v>23</v>
      </c>
      <c r="B26" s="8" t="inlineStr">
        <is>
          <t>富国新能源汽车LOFA</t>
        </is>
      </c>
      <c r="C26" s="8" t="inlineStr">
        <is>
          <t>161028</t>
        </is>
      </c>
      <c r="D26" s="8" t="inlineStr">
        <is>
          <t>公募基金</t>
        </is>
      </c>
      <c r="E26" s="8" t="inlineStr">
        <is>
          <t>新能源</t>
        </is>
      </c>
      <c r="F26" s="8" t="inlineStr">
        <is>
          <t>天天基金/蚂蚁</t>
        </is>
      </c>
      <c r="G26" s="8" t="inlineStr">
        <is>
          <t>-</t>
        </is>
      </c>
      <c r="H26" s="8" t="n">
        <v>4076.94516221648</v>
      </c>
      <c r="I26" s="8" t="n">
        <v>1.338</v>
      </c>
      <c r="J26" s="16" t="n">
        <v>4733.333333333333</v>
      </c>
      <c r="K26" s="16" t="n">
        <v>656.3881711168533</v>
      </c>
      <c r="L26" s="19" t="n">
        <v>0.161</v>
      </c>
      <c r="M26" s="19" t="n">
        <v>0.0038</v>
      </c>
      <c r="N26" s="20" t="n">
        <v>17.98666666666666</v>
      </c>
      <c r="O26" s="8" t="inlineStr">
        <is>
          <t>持有</t>
        </is>
      </c>
    </row>
    <row r="27">
      <c r="A27" s="8" t="n">
        <v>24</v>
      </c>
      <c r="B27" s="8" t="inlineStr">
        <is>
          <t>嘉实新能源新材料A</t>
        </is>
      </c>
      <c r="C27" s="8" t="inlineStr">
        <is>
          <t>003984</t>
        </is>
      </c>
      <c r="D27" s="8" t="inlineStr">
        <is>
          <t>公募基金</t>
        </is>
      </c>
      <c r="E27" s="8" t="inlineStr">
        <is>
          <t>新能源</t>
        </is>
      </c>
      <c r="F27" s="8" t="inlineStr">
        <is>
          <t>天天基金/蚂蚁</t>
        </is>
      </c>
      <c r="G27" s="8" t="inlineStr">
        <is>
          <t>-</t>
        </is>
      </c>
      <c r="H27" s="8" t="n">
        <v>3430.946167971393</v>
      </c>
      <c r="I27" s="8" t="n">
        <v>3.3461</v>
      </c>
      <c r="J27" s="16" t="n">
        <v>4733.333333333333</v>
      </c>
      <c r="K27" s="16" t="n">
        <v>1302.38716536194</v>
      </c>
      <c r="L27" s="19" t="n">
        <v>0.3796</v>
      </c>
      <c r="M27" s="19" t="n">
        <v>0.0013</v>
      </c>
      <c r="N27" s="20" t="n">
        <v>6.153333333333332</v>
      </c>
      <c r="O27" s="8" t="inlineStr">
        <is>
          <t>持有</t>
        </is>
      </c>
    </row>
    <row r="28">
      <c r="A28" s="8" t="n">
        <v>25</v>
      </c>
      <c r="B28" s="8" t="inlineStr">
        <is>
          <t>南方中证电池主题ETF联接A</t>
        </is>
      </c>
      <c r="C28" s="8" t="inlineStr">
        <is>
          <t>011082</t>
        </is>
      </c>
      <c r="D28" s="8" t="inlineStr">
        <is>
          <t>公募基金</t>
        </is>
      </c>
      <c r="E28" s="8" t="inlineStr">
        <is>
          <t>新能源</t>
        </is>
      </c>
      <c r="F28" s="8" t="inlineStr">
        <is>
          <t>天天基金/蚂蚁</t>
        </is>
      </c>
      <c r="G28" s="8" t="inlineStr">
        <is>
          <t>-</t>
        </is>
      </c>
      <c r="H28" s="8" t="n">
        <v>4078.350278591533</v>
      </c>
      <c r="I28" s="8" t="n"/>
      <c r="J28" s="16" t="n">
        <v>4733.333333333333</v>
      </c>
      <c r="K28" s="16" t="n">
        <v>654.9830547418005</v>
      </c>
      <c r="L28" s="19" t="n">
        <v>0.1606</v>
      </c>
      <c r="M28" s="11" t="inlineStr"/>
      <c r="N28" s="16" t="inlineStr"/>
      <c r="O28" s="8" t="inlineStr">
        <is>
          <t>持有</t>
        </is>
      </c>
    </row>
    <row r="29">
      <c r="A29" s="8" t="n">
        <v>26</v>
      </c>
      <c r="B29" s="8" t="inlineStr">
        <is>
          <t>嘉实智能汽车股票</t>
        </is>
      </c>
      <c r="C29" s="8" t="inlineStr">
        <is>
          <t>002168</t>
        </is>
      </c>
      <c r="D29" s="8" t="inlineStr">
        <is>
          <t>公募基金</t>
        </is>
      </c>
      <c r="E29" s="8" t="inlineStr">
        <is>
          <t>新能源</t>
        </is>
      </c>
      <c r="F29" s="8" t="inlineStr">
        <is>
          <t>天天基金/蚂蚁</t>
        </is>
      </c>
      <c r="G29" s="8" t="inlineStr">
        <is>
          <t>-</t>
        </is>
      </c>
      <c r="H29" s="8" t="n">
        <v>3828.938143773931</v>
      </c>
      <c r="I29" s="8" t="n">
        <v>3.715</v>
      </c>
      <c r="J29" s="16" t="n">
        <v>4733.333333333333</v>
      </c>
      <c r="K29" s="16" t="n">
        <v>904.3951895594023</v>
      </c>
      <c r="L29" s="19" t="n">
        <v>0.2362</v>
      </c>
      <c r="M29" s="19" t="n">
        <v>0.006999999999999999</v>
      </c>
      <c r="N29" s="20" t="n">
        <v>33.13333333333333</v>
      </c>
      <c r="O29" s="8" t="inlineStr">
        <is>
          <t>持有</t>
        </is>
      </c>
    </row>
    <row r="30">
      <c r="A30" s="8" t="n">
        <v>27</v>
      </c>
      <c r="B30" s="8" t="inlineStr">
        <is>
          <t>农银新能源混合A</t>
        </is>
      </c>
      <c r="C30" s="8" t="inlineStr">
        <is>
          <t>001528</t>
        </is>
      </c>
      <c r="D30" s="8" t="inlineStr">
        <is>
          <t>公募基金</t>
        </is>
      </c>
      <c r="E30" s="8" t="inlineStr">
        <is>
          <t>新能源</t>
        </is>
      </c>
      <c r="F30" s="8" t="inlineStr">
        <is>
          <t>天天基金/蚂蚁</t>
        </is>
      </c>
      <c r="G30" s="8" t="inlineStr">
        <is>
          <t>-</t>
        </is>
      </c>
      <c r="H30" s="8" t="n">
        <v>3824.915824915824</v>
      </c>
      <c r="I30" s="8" t="n">
        <v>3.485</v>
      </c>
      <c r="J30" s="16" t="n">
        <v>4733.333333333333</v>
      </c>
      <c r="K30" s="16" t="n">
        <v>908.4175084175085</v>
      </c>
      <c r="L30" s="19" t="n">
        <v>0.2375</v>
      </c>
      <c r="M30" s="19" t="n">
        <v>0.0196</v>
      </c>
      <c r="N30" s="20" t="n">
        <v>92.77333333333333</v>
      </c>
      <c r="O30" s="8" t="inlineStr">
        <is>
          <t>持有</t>
        </is>
      </c>
    </row>
    <row r="31">
      <c r="A31" s="8" t="n">
        <v>28</v>
      </c>
      <c r="B31" s="8" t="inlineStr">
        <is>
          <t>华夏能源革新股票A</t>
        </is>
      </c>
      <c r="C31" s="8" t="inlineStr">
        <is>
          <t>003834</t>
        </is>
      </c>
      <c r="D31" s="8" t="inlineStr">
        <is>
          <t>公募基金</t>
        </is>
      </c>
      <c r="E31" s="8" t="inlineStr">
        <is>
          <t>新能源</t>
        </is>
      </c>
      <c r="F31" s="8" t="inlineStr">
        <is>
          <t>天天基金/蚂蚁</t>
        </is>
      </c>
      <c r="G31" s="8" t="inlineStr">
        <is>
          <t>-</t>
        </is>
      </c>
      <c r="H31" s="8" t="n">
        <v>3815.97334193271</v>
      </c>
      <c r="I31" s="8" t="n">
        <v>3.764</v>
      </c>
      <c r="J31" s="16" t="n">
        <v>4733.333333333333</v>
      </c>
      <c r="K31" s="16" t="n">
        <v>917.3599914006231</v>
      </c>
      <c r="L31" s="19" t="n">
        <v>0.2404</v>
      </c>
      <c r="M31" s="19" t="n">
        <v>0.005600000000000001</v>
      </c>
      <c r="N31" s="20" t="n">
        <v>26.50666666666667</v>
      </c>
      <c r="O31" s="8" t="inlineStr">
        <is>
          <t>持有</t>
        </is>
      </c>
    </row>
    <row r="32">
      <c r="A32" s="8" t="n">
        <v>29</v>
      </c>
      <c r="B32" s="8" t="inlineStr">
        <is>
          <t>国泰新能源汽车LOFA</t>
        </is>
      </c>
      <c r="C32" s="8" t="inlineStr">
        <is>
          <t>160225</t>
        </is>
      </c>
      <c r="D32" s="8" t="inlineStr">
        <is>
          <t>公募基金</t>
        </is>
      </c>
      <c r="E32" s="8" t="inlineStr">
        <is>
          <t>新能源</t>
        </is>
      </c>
      <c r="F32" s="8" t="inlineStr">
        <is>
          <t>天天基金/蚂蚁</t>
        </is>
      </c>
      <c r="G32" s="8" t="inlineStr">
        <is>
          <t>-</t>
        </is>
      </c>
      <c r="H32" s="8" t="n">
        <v>3990.669701823905</v>
      </c>
      <c r="I32" s="8" t="n">
        <v>2.2205</v>
      </c>
      <c r="J32" s="16" t="n">
        <v>4733.333333333333</v>
      </c>
      <c r="K32" s="16" t="n">
        <v>742.6636315094283</v>
      </c>
      <c r="L32" s="19" t="n">
        <v>0.1861</v>
      </c>
      <c r="M32" s="19" t="n">
        <v>0.0072</v>
      </c>
      <c r="N32" s="20" t="n">
        <v>34.08</v>
      </c>
      <c r="O32" s="8" t="inlineStr">
        <is>
          <t>持有</t>
        </is>
      </c>
    </row>
    <row r="33">
      <c r="A33" s="8" t="n">
        <v>30</v>
      </c>
      <c r="B33" s="8" t="inlineStr">
        <is>
          <t>汇丰晋信智造先锋C</t>
        </is>
      </c>
      <c r="C33" s="8" t="inlineStr">
        <is>
          <t>540008</t>
        </is>
      </c>
      <c r="D33" s="8" t="inlineStr">
        <is>
          <t>公募基金</t>
        </is>
      </c>
      <c r="E33" s="8" t="inlineStr">
        <is>
          <t>新能源</t>
        </is>
      </c>
      <c r="F33" s="8" t="inlineStr">
        <is>
          <t>天天基金/蚂蚁</t>
        </is>
      </c>
      <c r="G33" s="8" t="inlineStr">
        <is>
          <t>-</t>
        </is>
      </c>
      <c r="H33" s="8" t="n">
        <v>4639.613147748807</v>
      </c>
      <c r="I33" s="8" t="n"/>
      <c r="J33" s="16" t="n">
        <v>4733.333333333333</v>
      </c>
      <c r="K33" s="16" t="n">
        <v>93.72018558452601</v>
      </c>
      <c r="L33" s="19" t="n">
        <v>0.0202</v>
      </c>
      <c r="M33" s="11" t="inlineStr"/>
      <c r="N33" s="16" t="inlineStr"/>
      <c r="O33" s="8" t="inlineStr">
        <is>
          <t>持有</t>
        </is>
      </c>
    </row>
    <row r="34">
      <c r="A34" s="8" t="n">
        <v>31</v>
      </c>
      <c r="B34" s="8" t="inlineStr">
        <is>
          <t>嘉实纳指100</t>
        </is>
      </c>
      <c r="C34" s="8" t="inlineStr">
        <is>
          <t>160213</t>
        </is>
      </c>
      <c r="D34" s="8" t="inlineStr">
        <is>
          <t>公募基金</t>
        </is>
      </c>
      <c r="E34" s="8" t="inlineStr">
        <is>
          <t>海外QDII</t>
        </is>
      </c>
      <c r="F34" s="8" t="inlineStr">
        <is>
          <t>天天基金/蚂蚁</t>
        </is>
      </c>
      <c r="G34" s="8" t="inlineStr">
        <is>
          <t>-</t>
        </is>
      </c>
      <c r="H34" s="8" t="n">
        <v>4136.805919711006</v>
      </c>
      <c r="I34" s="8" t="n">
        <v>4.479</v>
      </c>
      <c r="J34" s="16" t="n">
        <v>4733.333333333333</v>
      </c>
      <c r="K34" s="16" t="n">
        <v>596.527413622327</v>
      </c>
      <c r="L34" s="19" t="n">
        <v>0.1442</v>
      </c>
      <c r="M34" s="19" t="n">
        <v>0.0235</v>
      </c>
      <c r="N34" s="20" t="n">
        <v>111.2333333333333</v>
      </c>
      <c r="O34" s="8" t="inlineStr">
        <is>
          <t>持有</t>
        </is>
      </c>
    </row>
    <row r="35">
      <c r="A35" s="8" t="n">
        <v>32</v>
      </c>
      <c r="B35" s="8" t="inlineStr">
        <is>
          <t>国富亚洲机会QDIIC</t>
        </is>
      </c>
      <c r="C35" s="8" t="inlineStr">
        <is>
          <t>000369</t>
        </is>
      </c>
      <c r="D35" s="8" t="inlineStr">
        <is>
          <t>公募基金</t>
        </is>
      </c>
      <c r="E35" s="8" t="inlineStr">
        <is>
          <t>海外QDII</t>
        </is>
      </c>
      <c r="F35" s="8" t="inlineStr">
        <is>
          <t>天天基金/蚂蚁</t>
        </is>
      </c>
      <c r="G35" s="8" t="inlineStr">
        <is>
          <t>-</t>
        </is>
      </c>
      <c r="H35" s="8" t="n">
        <v>3542.118785701813</v>
      </c>
      <c r="I35" s="8" t="n">
        <v>2.322</v>
      </c>
      <c r="J35" s="16" t="n">
        <v>4733.333333333333</v>
      </c>
      <c r="K35" s="16" t="n">
        <v>1191.21454763152</v>
      </c>
      <c r="L35" s="19" t="n">
        <v>0.3363</v>
      </c>
      <c r="M35" s="17" t="n">
        <v>-0.0077</v>
      </c>
      <c r="N35" s="18" t="n">
        <v>-36.44666666666667</v>
      </c>
      <c r="O35" s="8" t="inlineStr">
        <is>
          <t>持有</t>
        </is>
      </c>
    </row>
    <row r="36">
      <c r="A36" s="8" t="n">
        <v>33</v>
      </c>
      <c r="B36" s="8" t="inlineStr">
        <is>
          <t>建信新兴市场优选QDII</t>
        </is>
      </c>
      <c r="C36" s="8" t="inlineStr">
        <is>
          <t>539001</t>
        </is>
      </c>
      <c r="D36" s="8" t="inlineStr">
        <is>
          <t>公募基金</t>
        </is>
      </c>
      <c r="E36" s="8" t="inlineStr">
        <is>
          <t>海外QDII</t>
        </is>
      </c>
      <c r="F36" s="8" t="inlineStr">
        <is>
          <t>天天基金/蚂蚁</t>
        </is>
      </c>
      <c r="G36" s="8" t="inlineStr">
        <is>
          <t>-</t>
        </is>
      </c>
      <c r="H36" s="8" t="n">
        <v>3489.629411186474</v>
      </c>
      <c r="I36" s="8" t="n">
        <v>3.4478</v>
      </c>
      <c r="J36" s="16" t="n">
        <v>4733.333333333333</v>
      </c>
      <c r="K36" s="16" t="n">
        <v>1243.703922146859</v>
      </c>
      <c r="L36" s="19" t="n">
        <v>0.3564</v>
      </c>
      <c r="M36" s="19" t="n">
        <v>0.0216</v>
      </c>
      <c r="N36" s="20" t="n">
        <v>102.24</v>
      </c>
      <c r="O36" s="8" t="inlineStr">
        <is>
          <t>持有</t>
        </is>
      </c>
    </row>
    <row r="37">
      <c r="A37" s="8" t="n">
        <v>34</v>
      </c>
      <c r="B37" s="8" t="inlineStr">
        <is>
          <t>博时标普500ETF联接</t>
        </is>
      </c>
      <c r="C37" s="8" t="inlineStr">
        <is>
          <t>050025</t>
        </is>
      </c>
      <c r="D37" s="8" t="inlineStr">
        <is>
          <t>公募基金</t>
        </is>
      </c>
      <c r="E37" s="8" t="inlineStr">
        <is>
          <t>海外QDII</t>
        </is>
      </c>
      <c r="F37" s="8" t="inlineStr">
        <is>
          <t>天天基金/蚂蚁</t>
        </is>
      </c>
      <c r="G37" s="8" t="inlineStr">
        <is>
          <t>-</t>
        </is>
      </c>
      <c r="H37" s="8" t="n">
        <v>3977.591036414566</v>
      </c>
      <c r="I37" s="8" t="n">
        <v>5.4523</v>
      </c>
      <c r="J37" s="16" t="n">
        <v>4733.333333333333</v>
      </c>
      <c r="K37" s="16" t="n">
        <v>755.7422969187674</v>
      </c>
      <c r="L37" s="19" t="n">
        <v>0.19</v>
      </c>
      <c r="M37" s="19" t="n">
        <v>0.0083</v>
      </c>
      <c r="N37" s="20" t="n">
        <v>39.28666666666666</v>
      </c>
      <c r="O37" s="8" t="inlineStr">
        <is>
          <t>持有</t>
        </is>
      </c>
    </row>
    <row r="38">
      <c r="A38" s="8" t="n">
        <v>35</v>
      </c>
      <c r="B38" s="8" t="inlineStr">
        <is>
          <t>华宝纳斯达克精选</t>
        </is>
      </c>
      <c r="C38" s="8" t="inlineStr">
        <is>
          <t>241001</t>
        </is>
      </c>
      <c r="D38" s="8" t="inlineStr">
        <is>
          <t>公募基金</t>
        </is>
      </c>
      <c r="E38" s="8" t="inlineStr">
        <is>
          <t>海外QDII</t>
        </is>
      </c>
      <c r="F38" s="8" t="inlineStr">
        <is>
          <t>天天基金/蚂蚁</t>
        </is>
      </c>
      <c r="G38" s="8" t="inlineStr">
        <is>
          <t>-</t>
        </is>
      </c>
      <c r="H38" s="8" t="n">
        <v>4264.264264264264</v>
      </c>
      <c r="I38" s="8" t="n"/>
      <c r="J38" s="16" t="n">
        <v>4733.333333333333</v>
      </c>
      <c r="K38" s="16" t="n">
        <v>469.069069069069</v>
      </c>
      <c r="L38" s="19" t="n">
        <v>0.11</v>
      </c>
      <c r="M38" s="11" t="inlineStr"/>
      <c r="N38" s="16" t="inlineStr"/>
      <c r="O38" s="8" t="inlineStr">
        <is>
          <t>持有</t>
        </is>
      </c>
    </row>
    <row r="39">
      <c r="A39" s="8" t="n">
        <v>36</v>
      </c>
      <c r="B39" s="8" t="inlineStr">
        <is>
          <t>嘉实美国成长</t>
        </is>
      </c>
      <c r="C39" s="8" t="inlineStr">
        <is>
          <t>000043</t>
        </is>
      </c>
      <c r="D39" s="8" t="inlineStr">
        <is>
          <t>公募基金</t>
        </is>
      </c>
      <c r="E39" s="8" t="inlineStr">
        <is>
          <t>海外QDII</t>
        </is>
      </c>
      <c r="F39" s="8" t="inlineStr">
        <is>
          <t>天天基金/蚂蚁</t>
        </is>
      </c>
      <c r="G39" s="8" t="inlineStr">
        <is>
          <t>-</t>
        </is>
      </c>
      <c r="H39" s="8" t="n">
        <v>3409.445604936493</v>
      </c>
      <c r="I39" s="8" t="n">
        <v>6.321</v>
      </c>
      <c r="J39" s="16" t="n">
        <v>4733.333333333333</v>
      </c>
      <c r="K39" s="16" t="n">
        <v>1323.88772839684</v>
      </c>
      <c r="L39" s="19" t="n">
        <v>0.3883</v>
      </c>
      <c r="M39" s="19" t="n">
        <v>0.0128</v>
      </c>
      <c r="N39" s="20" t="n">
        <v>60.58666666666667</v>
      </c>
      <c r="O39" s="8" t="inlineStr">
        <is>
          <t>持有</t>
        </is>
      </c>
    </row>
    <row r="40">
      <c r="A40" s="8" t="n">
        <v>37</v>
      </c>
      <c r="B40" s="8" t="inlineStr">
        <is>
          <t>景顺纳斯达克科技ETF联接</t>
        </is>
      </c>
      <c r="C40" s="8" t="inlineStr">
        <is>
          <t>260108</t>
        </is>
      </c>
      <c r="D40" s="8" t="inlineStr">
        <is>
          <t>公募基金</t>
        </is>
      </c>
      <c r="E40" s="8" t="inlineStr">
        <is>
          <t>海外QDII</t>
        </is>
      </c>
      <c r="F40" s="8" t="inlineStr">
        <is>
          <t>天天基金/蚂蚁</t>
        </is>
      </c>
      <c r="G40" s="8" t="inlineStr">
        <is>
          <t>-</t>
        </is>
      </c>
      <c r="H40" s="8" t="n">
        <v>3832.658569500675</v>
      </c>
      <c r="I40" s="8" t="n">
        <v>1.572</v>
      </c>
      <c r="J40" s="16" t="n">
        <v>4733.333333333333</v>
      </c>
      <c r="K40" s="16" t="n">
        <v>900.6747638326583</v>
      </c>
      <c r="L40" s="19" t="n">
        <v>0.235</v>
      </c>
      <c r="M40" s="19" t="n">
        <v>0.0005999999999999999</v>
      </c>
      <c r="N40" s="20" t="n">
        <v>2.839999999999999</v>
      </c>
      <c r="O40" s="8" t="inlineStr">
        <is>
          <t>持有</t>
        </is>
      </c>
    </row>
    <row r="41">
      <c r="A41" s="8" t="n">
        <v>38</v>
      </c>
      <c r="B41" s="8" t="inlineStr">
        <is>
          <t>广发纳指100QDIIA</t>
        </is>
      </c>
      <c r="C41" s="8" t="inlineStr">
        <is>
          <t>270042</t>
        </is>
      </c>
      <c r="D41" s="8" t="inlineStr">
        <is>
          <t>公募基金</t>
        </is>
      </c>
      <c r="E41" s="8" t="inlineStr">
        <is>
          <t>海外QDII</t>
        </is>
      </c>
      <c r="F41" s="8" t="inlineStr">
        <is>
          <t>天天基金/蚂蚁</t>
        </is>
      </c>
      <c r="G41" s="8" t="inlineStr">
        <is>
          <t>-</t>
        </is>
      </c>
      <c r="H41" s="8" t="n">
        <v>4191.758176880388</v>
      </c>
      <c r="I41" s="8" t="n">
        <v>8.2334</v>
      </c>
      <c r="J41" s="16" t="n">
        <v>4733.333333333333</v>
      </c>
      <c r="K41" s="16" t="n">
        <v>541.5751564529455</v>
      </c>
      <c r="L41" s="19" t="n">
        <v>0.1292</v>
      </c>
      <c r="M41" s="19" t="n">
        <v>0.0237</v>
      </c>
      <c r="N41" s="20" t="n">
        <v>112.18</v>
      </c>
      <c r="O41" s="8" t="inlineStr">
        <is>
          <t>持有</t>
        </is>
      </c>
    </row>
    <row r="42">
      <c r="A42" s="8" t="n">
        <v>39</v>
      </c>
      <c r="B42" s="8" t="inlineStr">
        <is>
          <t>南方原油QDII-FOFC</t>
        </is>
      </c>
      <c r="C42" s="8" t="inlineStr">
        <is>
          <t>501018</t>
        </is>
      </c>
      <c r="D42" s="8" t="inlineStr">
        <is>
          <t>公募基金</t>
        </is>
      </c>
      <c r="E42" s="8" t="inlineStr">
        <is>
          <t>海外QDII</t>
        </is>
      </c>
      <c r="F42" s="8" t="inlineStr">
        <is>
          <t>天天基金/蚂蚁</t>
        </is>
      </c>
      <c r="G42" s="8" t="inlineStr">
        <is>
          <t>-</t>
        </is>
      </c>
      <c r="H42" s="8" t="n">
        <v>3034.382545889694</v>
      </c>
      <c r="I42" s="8" t="n">
        <v>1.8381</v>
      </c>
      <c r="J42" s="16" t="n">
        <v>4733.333333333333</v>
      </c>
      <c r="K42" s="16" t="n">
        <v>1698.950787443639</v>
      </c>
      <c r="L42" s="19" t="n">
        <v>0.5599000000000001</v>
      </c>
      <c r="M42" s="19" t="n">
        <v>0.009399999999999999</v>
      </c>
      <c r="N42" s="20" t="n">
        <v>44.49333333333333</v>
      </c>
      <c r="O42" s="8" t="inlineStr">
        <is>
          <t>持有</t>
        </is>
      </c>
    </row>
    <row r="43">
      <c r="A43" s="8" t="n">
        <v>40</v>
      </c>
      <c r="B43" s="8" t="inlineStr">
        <is>
          <t>天弘纳指100QDIIA</t>
        </is>
      </c>
      <c r="C43" s="8" t="inlineStr">
        <is>
          <t>018043</t>
        </is>
      </c>
      <c r="D43" s="8" t="inlineStr">
        <is>
          <t>公募基金</t>
        </is>
      </c>
      <c r="E43" s="8" t="inlineStr">
        <is>
          <t>海外QDII</t>
        </is>
      </c>
      <c r="F43" s="8" t="inlineStr">
        <is>
          <t>天天基金/蚂蚁</t>
        </is>
      </c>
      <c r="G43" s="8" t="inlineStr">
        <is>
          <t>-</t>
        </is>
      </c>
      <c r="H43" s="8" t="n">
        <v>4334.554334554334</v>
      </c>
      <c r="I43" s="8" t="n">
        <v>2.0375</v>
      </c>
      <c r="J43" s="16" t="n">
        <v>4733.333333333333</v>
      </c>
      <c r="K43" s="16" t="n">
        <v>398.7789987789993</v>
      </c>
      <c r="L43" s="19" t="n">
        <v>0.092</v>
      </c>
      <c r="M43" s="19" t="n">
        <v>0.0225</v>
      </c>
      <c r="N43" s="20" t="n">
        <v>106.5</v>
      </c>
      <c r="O43" s="8" t="inlineStr">
        <is>
          <t>持有</t>
        </is>
      </c>
    </row>
    <row r="44">
      <c r="A44" s="8" t="n">
        <v>41</v>
      </c>
      <c r="B44" s="8" t="inlineStr">
        <is>
          <t>汇添富全球移动互联QDIIC</t>
        </is>
      </c>
      <c r="C44" s="8" t="inlineStr">
        <is>
          <t>001668</t>
        </is>
      </c>
      <c r="D44" s="8" t="inlineStr">
        <is>
          <t>公募基金</t>
        </is>
      </c>
      <c r="E44" s="8" t="inlineStr">
        <is>
          <t>海外QDII</t>
        </is>
      </c>
      <c r="F44" s="8" t="inlineStr">
        <is>
          <t>天天基金/蚂蚁</t>
        </is>
      </c>
      <c r="G44" s="8" t="inlineStr">
        <is>
          <t>-</t>
        </is>
      </c>
      <c r="H44" s="8" t="n">
        <v>3921.8935564946</v>
      </c>
      <c r="I44" s="8" t="n">
        <v>5.3181</v>
      </c>
      <c r="J44" s="16" t="n">
        <v>4733.333333333333</v>
      </c>
      <c r="K44" s="16" t="n">
        <v>811.439776838733</v>
      </c>
      <c r="L44" s="19" t="n">
        <v>0.2069</v>
      </c>
      <c r="M44" s="19" t="n">
        <v>0.0241</v>
      </c>
      <c r="N44" s="20" t="n">
        <v>114.0733333333333</v>
      </c>
      <c r="O44" s="8" t="inlineStr">
        <is>
          <t>持有</t>
        </is>
      </c>
    </row>
    <row r="45">
      <c r="A45" s="8" t="n">
        <v>42</v>
      </c>
      <c r="B45" s="8" t="inlineStr">
        <is>
          <t>嘉实全球产业升级QDIIC</t>
        </is>
      </c>
      <c r="C45" s="8" t="inlineStr">
        <is>
          <t>001972</t>
        </is>
      </c>
      <c r="D45" s="8" t="inlineStr">
        <is>
          <t>公募基金</t>
        </is>
      </c>
      <c r="E45" s="8" t="inlineStr">
        <is>
          <t>海外QDII</t>
        </is>
      </c>
      <c r="F45" s="8" t="inlineStr">
        <is>
          <t>天天基金/蚂蚁</t>
        </is>
      </c>
      <c r="G45" s="8" t="inlineStr">
        <is>
          <t>-</t>
        </is>
      </c>
      <c r="H45" s="8" t="n">
        <v>1976.587185590401</v>
      </c>
      <c r="I45" s="8" t="n"/>
      <c r="J45" s="16" t="n">
        <v>4733.333333333333</v>
      </c>
      <c r="K45" s="16" t="n">
        <v>2756.746147742932</v>
      </c>
      <c r="L45" s="19" t="n">
        <v>1.3947</v>
      </c>
      <c r="M45" s="11" t="inlineStr"/>
      <c r="N45" s="16" t="inlineStr"/>
      <c r="O45" s="8" t="inlineStr">
        <is>
          <t>持有</t>
        </is>
      </c>
    </row>
    <row r="46">
      <c r="A46" s="8" t="n">
        <v>43</v>
      </c>
      <c r="B46" s="8" t="inlineStr">
        <is>
          <t>华宝海外科技QDII-LOFC</t>
        </is>
      </c>
      <c r="C46" s="8" t="inlineStr">
        <is>
          <t>501312</t>
        </is>
      </c>
      <c r="D46" s="8" t="inlineStr">
        <is>
          <t>公募基金</t>
        </is>
      </c>
      <c r="E46" s="8" t="inlineStr">
        <is>
          <t>海外QDII</t>
        </is>
      </c>
      <c r="F46" s="8" t="inlineStr">
        <is>
          <t>天天基金/蚂蚁</t>
        </is>
      </c>
      <c r="G46" s="8" t="inlineStr">
        <is>
          <t>-</t>
        </is>
      </c>
      <c r="H46" s="8" t="n">
        <v>3876.603876603876</v>
      </c>
      <c r="I46" s="8" t="n">
        <v>2.283</v>
      </c>
      <c r="J46" s="16" t="n">
        <v>4733.333333333333</v>
      </c>
      <c r="K46" s="16" t="n">
        <v>856.7294567294571</v>
      </c>
      <c r="L46" s="19" t="n">
        <v>0.221</v>
      </c>
      <c r="M46" s="19" t="n">
        <v>0.0275</v>
      </c>
      <c r="N46" s="20" t="n">
        <v>130.1666666666667</v>
      </c>
      <c r="O46" s="8" t="inlineStr">
        <is>
          <t>持有</t>
        </is>
      </c>
    </row>
    <row r="47">
      <c r="A47" s="8" t="n">
        <v>44</v>
      </c>
      <c r="B47" s="8" t="inlineStr">
        <is>
          <t>广发中证香港创新药ETF联接</t>
        </is>
      </c>
      <c r="C47" s="8" t="inlineStr">
        <is>
          <t>501189</t>
        </is>
      </c>
      <c r="D47" s="8" t="inlineStr">
        <is>
          <t>公募基金</t>
        </is>
      </c>
      <c r="E47" s="8" t="inlineStr">
        <is>
          <t>主题</t>
        </is>
      </c>
      <c r="F47" s="8" t="inlineStr">
        <is>
          <t>天天基金/蚂蚁</t>
        </is>
      </c>
      <c r="G47" s="8" t="inlineStr">
        <is>
          <t>-</t>
        </is>
      </c>
      <c r="H47" s="8" t="n">
        <v>5674.098937105409</v>
      </c>
      <c r="I47" s="8" t="n">
        <v>1.1046</v>
      </c>
      <c r="J47" s="16" t="n">
        <v>4733.333333333333</v>
      </c>
      <c r="K47" s="16" t="n">
        <v>-940.7656037720762</v>
      </c>
      <c r="L47" s="17" t="n">
        <v>-0.1658</v>
      </c>
      <c r="M47" s="19" t="n">
        <v>0.0048</v>
      </c>
      <c r="N47" s="20" t="n">
        <v>22.72</v>
      </c>
      <c r="O47" s="8" t="inlineStr">
        <is>
          <t>观望,医药行业承压</t>
        </is>
      </c>
    </row>
    <row r="48">
      <c r="A48" s="8" t="n">
        <v>45</v>
      </c>
      <c r="B48" s="8" t="inlineStr">
        <is>
          <t>天弘上海金ETF发起联接C</t>
        </is>
      </c>
      <c r="C48" s="8" t="inlineStr">
        <is>
          <t>164824</t>
        </is>
      </c>
      <c r="D48" s="8" t="inlineStr">
        <is>
          <t>公募基金</t>
        </is>
      </c>
      <c r="E48" s="8" t="inlineStr">
        <is>
          <t>黄金</t>
        </is>
      </c>
      <c r="F48" s="8" t="inlineStr">
        <is>
          <t>天天基金/蚂蚁</t>
        </is>
      </c>
      <c r="G48" s="8" t="inlineStr">
        <is>
          <t>-</t>
        </is>
      </c>
      <c r="H48" s="8" t="n">
        <v>4825.992387166938</v>
      </c>
      <c r="I48" s="8" t="n"/>
      <c r="J48" s="16" t="n">
        <v>4733.333333333333</v>
      </c>
      <c r="K48" s="16" t="n">
        <v>-92.65905383360496</v>
      </c>
      <c r="L48" s="17" t="n">
        <v>-0.0192</v>
      </c>
      <c r="M48" s="11" t="inlineStr"/>
      <c r="N48" s="16" t="inlineStr"/>
      <c r="O48" s="8" t="inlineStr">
        <is>
          <t>观望</t>
        </is>
      </c>
    </row>
    <row r="49">
      <c r="A49" s="8" t="n">
        <v>46</v>
      </c>
      <c r="B49" s="8" t="inlineStr">
        <is>
          <t>国泰国证有色金属指数C</t>
        </is>
      </c>
      <c r="C49" s="8" t="inlineStr">
        <is>
          <t>160221</t>
        </is>
      </c>
      <c r="D49" s="8" t="inlineStr">
        <is>
          <t>公募基金</t>
        </is>
      </c>
      <c r="E49" s="8" t="inlineStr">
        <is>
          <t>有色</t>
        </is>
      </c>
      <c r="F49" s="8" t="inlineStr">
        <is>
          <t>天天基金/蚂蚁</t>
        </is>
      </c>
      <c r="G49" s="8" t="inlineStr">
        <is>
          <t>-</t>
        </is>
      </c>
      <c r="H49" s="8" t="n">
        <v>4757.597078433343</v>
      </c>
      <c r="I49" s="8" t="n"/>
      <c r="J49" s="16" t="n">
        <v>4733.333333333333</v>
      </c>
      <c r="K49" s="16" t="n">
        <v>-24.26374510001006</v>
      </c>
      <c r="L49" s="17" t="n">
        <v>-0.0051</v>
      </c>
      <c r="M49" s="11" t="inlineStr"/>
      <c r="N49" s="16" t="inlineStr"/>
      <c r="O49" s="8" t="inlineStr">
        <is>
          <t>观望</t>
        </is>
      </c>
    </row>
    <row r="50">
      <c r="A50" s="8" t="n">
        <v>47</v>
      </c>
      <c r="B50" s="8" t="inlineStr">
        <is>
          <t>国投瑞银白银期货LOFA</t>
        </is>
      </c>
      <c r="C50" s="8" t="inlineStr">
        <is>
          <t>161226</t>
        </is>
      </c>
      <c r="D50" s="8" t="inlineStr">
        <is>
          <t>公募基金</t>
        </is>
      </c>
      <c r="E50" s="8" t="inlineStr">
        <is>
          <t>商品</t>
        </is>
      </c>
      <c r="F50" s="8" t="inlineStr">
        <is>
          <t>天天基金/蚂蚁</t>
        </is>
      </c>
      <c r="G50" s="8" t="inlineStr">
        <is>
          <t>-</t>
        </is>
      </c>
      <c r="H50" s="8" t="n">
        <v>5323.735612791962</v>
      </c>
      <c r="I50" s="8" t="n">
        <v>2.2539</v>
      </c>
      <c r="J50" s="16" t="n">
        <v>4733.333333333333</v>
      </c>
      <c r="K50" s="16" t="n">
        <v>-590.402279458629</v>
      </c>
      <c r="L50" s="17" t="n">
        <v>-0.1109</v>
      </c>
      <c r="M50" s="19" t="n">
        <v>0.0014</v>
      </c>
      <c r="N50" s="20" t="n">
        <v>6.626666666666667</v>
      </c>
      <c r="O50" s="8" t="inlineStr">
        <is>
          <t>考虑止损</t>
        </is>
      </c>
    </row>
    <row r="51">
      <c r="A51" s="8" t="n">
        <v>48</v>
      </c>
      <c r="B51" s="8" t="inlineStr">
        <is>
          <t>易方达中证500ETF联接C</t>
        </is>
      </c>
      <c r="C51" s="8" t="inlineStr">
        <is>
          <t>110020</t>
        </is>
      </c>
      <c r="D51" s="8" t="inlineStr">
        <is>
          <t>公募基金</t>
        </is>
      </c>
      <c r="E51" s="8" t="inlineStr">
        <is>
          <t>宽基</t>
        </is>
      </c>
      <c r="F51" s="8" t="inlineStr">
        <is>
          <t>天天基金/蚂蚁</t>
        </is>
      </c>
      <c r="G51" s="8" t="inlineStr">
        <is>
          <t>-</t>
        </is>
      </c>
      <c r="H51" s="8" t="n">
        <v>4088.213278056083</v>
      </c>
      <c r="I51" s="8" t="n"/>
      <c r="J51" s="16" t="n">
        <v>4733.333333333333</v>
      </c>
      <c r="K51" s="16" t="n">
        <v>645.1200552772498</v>
      </c>
      <c r="L51" s="19" t="n">
        <v>0.1578</v>
      </c>
      <c r="M51" s="11" t="inlineStr"/>
      <c r="N51" s="16" t="inlineStr"/>
      <c r="O51" s="8" t="inlineStr">
        <is>
          <t>持有</t>
        </is>
      </c>
    </row>
    <row r="52">
      <c r="A52" s="8" t="n">
        <v>49</v>
      </c>
      <c r="B52" s="8" t="inlineStr">
        <is>
          <t>易方达沪深300ETF联接C</t>
        </is>
      </c>
      <c r="C52" s="8" t="inlineStr">
        <is>
          <t>000961</t>
        </is>
      </c>
      <c r="D52" s="8" t="inlineStr">
        <is>
          <t>公募基金</t>
        </is>
      </c>
      <c r="E52" s="8" t="inlineStr">
        <is>
          <t>宽基</t>
        </is>
      </c>
      <c r="F52" s="8" t="inlineStr">
        <is>
          <t>天天基金/蚂蚁</t>
        </is>
      </c>
      <c r="G52" s="8" t="inlineStr">
        <is>
          <t>-</t>
        </is>
      </c>
      <c r="H52" s="8" t="n">
        <v>3850.743030697472</v>
      </c>
      <c r="I52" s="8" t="n">
        <v>1.7504</v>
      </c>
      <c r="J52" s="16" t="n">
        <v>4733.333333333333</v>
      </c>
      <c r="K52" s="16" t="n">
        <v>882.590302635861</v>
      </c>
      <c r="L52" s="19" t="n">
        <v>0.2292</v>
      </c>
      <c r="M52" s="19" t="n">
        <v>0.0157</v>
      </c>
      <c r="N52" s="20" t="n">
        <v>74.31333333333333</v>
      </c>
      <c r="O52" s="8" t="inlineStr">
        <is>
          <t>持有</t>
        </is>
      </c>
    </row>
    <row r="53">
      <c r="A53" s="8" t="n">
        <v>50</v>
      </c>
      <c r="B53" s="8" t="inlineStr">
        <is>
          <t>兴全合宜混合C</t>
        </is>
      </c>
      <c r="C53" s="8" t="inlineStr">
        <is>
          <t>163417</t>
        </is>
      </c>
      <c r="D53" s="8" t="inlineStr">
        <is>
          <t>公募基金</t>
        </is>
      </c>
      <c r="E53" s="8" t="inlineStr">
        <is>
          <t>平衡</t>
        </is>
      </c>
      <c r="F53" s="8" t="inlineStr">
        <is>
          <t>天天基金/蚂蚁</t>
        </is>
      </c>
      <c r="G53" s="8" t="inlineStr">
        <is>
          <t>-</t>
        </is>
      </c>
      <c r="H53" s="8" t="n">
        <v>3454.231433506045</v>
      </c>
      <c r="I53" s="8" t="n"/>
      <c r="J53" s="16" t="n">
        <v>4733.333333333333</v>
      </c>
      <c r="K53" s="16" t="n">
        <v>1279.101899827288</v>
      </c>
      <c r="L53" s="19" t="n">
        <v>0.3703</v>
      </c>
      <c r="M53" s="11" t="inlineStr"/>
      <c r="N53" s="16" t="inlineStr"/>
      <c r="O53" s="8" t="inlineStr">
        <is>
          <t>持有</t>
        </is>
      </c>
    </row>
    <row r="54">
      <c r="A54" s="8" t="n">
        <v>51</v>
      </c>
      <c r="B54" s="8" t="inlineStr">
        <is>
          <t>中金中证500增强C</t>
        </is>
      </c>
      <c r="C54" s="8" t="inlineStr">
        <is>
          <t>004069</t>
        </is>
      </c>
      <c r="D54" s="8" t="inlineStr">
        <is>
          <t>公募基金</t>
        </is>
      </c>
      <c r="E54" s="8" t="inlineStr">
        <is>
          <t>宽基</t>
        </is>
      </c>
      <c r="F54" s="8" t="inlineStr">
        <is>
          <t>天天基金/蚂蚁</t>
        </is>
      </c>
      <c r="G54" s="8" t="inlineStr">
        <is>
          <t>-</t>
        </is>
      </c>
      <c r="H54" s="8" t="n">
        <v>4404.739748123332</v>
      </c>
      <c r="I54" s="8" t="n"/>
      <c r="J54" s="16" t="n">
        <v>4733.333333333333</v>
      </c>
      <c r="K54" s="16" t="n">
        <v>328.593585210001</v>
      </c>
      <c r="L54" s="19" t="n">
        <v>0.0746</v>
      </c>
      <c r="M54" s="11" t="inlineStr"/>
      <c r="N54" s="16" t="inlineStr"/>
      <c r="O54" s="8" t="inlineStr">
        <is>
          <t>持有</t>
        </is>
      </c>
    </row>
    <row r="55">
      <c r="A55" s="8" t="n">
        <v>52</v>
      </c>
      <c r="B55" s="8" t="inlineStr">
        <is>
          <t>华泰柏瑞富利混合A</t>
        </is>
      </c>
      <c r="C55" s="8" t="inlineStr">
        <is>
          <t>002126</t>
        </is>
      </c>
      <c r="D55" s="8" t="inlineStr">
        <is>
          <t>公募基金</t>
        </is>
      </c>
      <c r="E55" s="8" t="inlineStr">
        <is>
          <t>平衡</t>
        </is>
      </c>
      <c r="F55" s="8" t="inlineStr">
        <is>
          <t>天天基金/蚂蚁</t>
        </is>
      </c>
      <c r="G55" s="8" t="inlineStr">
        <is>
          <t>-</t>
        </is>
      </c>
      <c r="H55" s="8" t="n">
        <v>4635.977799542932</v>
      </c>
      <c r="I55" s="8" t="n"/>
      <c r="J55" s="16" t="n">
        <v>4733.333333333333</v>
      </c>
      <c r="K55" s="16" t="n">
        <v>97.35553379040084</v>
      </c>
      <c r="L55" s="19" t="n">
        <v>0.021</v>
      </c>
      <c r="M55" s="11" t="inlineStr"/>
      <c r="N55" s="16" t="inlineStr"/>
      <c r="O55" s="8" t="inlineStr">
        <is>
          <t>持有</t>
        </is>
      </c>
    </row>
    <row r="56">
      <c r="A56" s="8" t="n">
        <v>53</v>
      </c>
      <c r="B56" s="8" t="inlineStr">
        <is>
          <t>前海开源嘉鑫混合C</t>
        </is>
      </c>
      <c r="C56" s="8" t="inlineStr">
        <is>
          <t>002400</t>
        </is>
      </c>
      <c r="D56" s="8" t="inlineStr">
        <is>
          <t>公募基金</t>
        </is>
      </c>
      <c r="E56" s="8" t="inlineStr">
        <is>
          <t>平衡</t>
        </is>
      </c>
      <c r="F56" s="8" t="inlineStr">
        <is>
          <t>天天基金/蚂蚁</t>
        </is>
      </c>
      <c r="G56" s="8" t="inlineStr">
        <is>
          <t>-</t>
        </is>
      </c>
      <c r="H56" s="8" t="n">
        <v>4428.228396794212</v>
      </c>
      <c r="I56" s="8" t="n"/>
      <c r="J56" s="16" t="n">
        <v>4733.333333333333</v>
      </c>
      <c r="K56" s="16" t="n">
        <v>305.1049365391209</v>
      </c>
      <c r="L56" s="19" t="n">
        <v>0.0689</v>
      </c>
      <c r="M56" s="11" t="inlineStr"/>
      <c r="N56" s="16" t="inlineStr"/>
      <c r="O56" s="8" t="inlineStr">
        <is>
          <t>持有</t>
        </is>
      </c>
    </row>
    <row r="57">
      <c r="A57" s="8" t="n">
        <v>54</v>
      </c>
      <c r="B57" s="8" t="inlineStr">
        <is>
          <t>前海开源工业革命4.0</t>
        </is>
      </c>
      <c r="C57" s="8" t="inlineStr">
        <is>
          <t>002263</t>
        </is>
      </c>
      <c r="D57" s="8" t="inlineStr">
        <is>
          <t>公募基金</t>
        </is>
      </c>
      <c r="E57" s="8" t="inlineStr">
        <is>
          <t>平衡</t>
        </is>
      </c>
      <c r="F57" s="8" t="inlineStr">
        <is>
          <t>天天基金/蚂蚁</t>
        </is>
      </c>
      <c r="G57" s="8" t="inlineStr">
        <is>
          <t>-</t>
        </is>
      </c>
      <c r="H57" s="8" t="n">
        <v>2669.825333258127</v>
      </c>
      <c r="I57" s="8" t="n"/>
      <c r="J57" s="16" t="n">
        <v>4733.333333333333</v>
      </c>
      <c r="K57" s="16" t="n">
        <v>2063.508000075206</v>
      </c>
      <c r="L57" s="19" t="n">
        <v>0.7729</v>
      </c>
      <c r="M57" s="11" t="inlineStr"/>
      <c r="N57" s="16" t="inlineStr"/>
      <c r="O57" s="8" t="inlineStr">
        <is>
          <t>持有</t>
        </is>
      </c>
    </row>
    <row r="58">
      <c r="A58" s="8" t="n">
        <v>55</v>
      </c>
      <c r="B58" s="8" t="inlineStr">
        <is>
          <t>博时军工主题股票A</t>
        </is>
      </c>
      <c r="C58" s="8" t="inlineStr">
        <is>
          <t>004698</t>
        </is>
      </c>
      <c r="D58" s="8" t="inlineStr">
        <is>
          <t>公募基金</t>
        </is>
      </c>
      <c r="E58" s="8" t="inlineStr">
        <is>
          <t>主题</t>
        </is>
      </c>
      <c r="F58" s="8" t="inlineStr">
        <is>
          <t>天天基金/蚂蚁</t>
        </is>
      </c>
      <c r="G58" s="8" t="inlineStr">
        <is>
          <t>-</t>
        </is>
      </c>
      <c r="H58" s="8" t="n">
        <v>3597.304554896894</v>
      </c>
      <c r="I58" s="8" t="n">
        <v>2.471</v>
      </c>
      <c r="J58" s="16" t="n">
        <v>4733.333333333333</v>
      </c>
      <c r="K58" s="16" t="n">
        <v>1136.028778436439</v>
      </c>
      <c r="L58" s="19" t="n">
        <v>0.3158</v>
      </c>
      <c r="M58" s="19" t="n">
        <v>0.0123</v>
      </c>
      <c r="N58" s="20" t="n">
        <v>58.22</v>
      </c>
      <c r="O58" s="8" t="inlineStr">
        <is>
          <t>持有</t>
        </is>
      </c>
    </row>
    <row r="59">
      <c r="A59" s="8" t="n">
        <v>56</v>
      </c>
      <c r="B59" s="8" t="inlineStr">
        <is>
          <t>博时黄金ETF联接C</t>
        </is>
      </c>
      <c r="C59" s="8" t="inlineStr">
        <is>
          <t>002610</t>
        </is>
      </c>
      <c r="D59" s="8" t="inlineStr">
        <is>
          <t>公募基金</t>
        </is>
      </c>
      <c r="E59" s="8" t="inlineStr">
        <is>
          <t>黄金</t>
        </is>
      </c>
      <c r="F59" s="8" t="inlineStr">
        <is>
          <t>天天基金/蚂蚁</t>
        </is>
      </c>
      <c r="G59" s="8" t="inlineStr">
        <is>
          <t>-</t>
        </is>
      </c>
      <c r="H59" s="8" t="n">
        <v>4733.333333333333</v>
      </c>
      <c r="I59" s="8" t="n">
        <v>3.3421</v>
      </c>
      <c r="J59" s="16" t="n">
        <v>4733.333333333333</v>
      </c>
      <c r="K59" s="16" t="n">
        <v>0</v>
      </c>
      <c r="L59" s="21" t="n">
        <v>0</v>
      </c>
      <c r="M59" s="17" t="n">
        <v>-0.0062</v>
      </c>
      <c r="N59" s="18" t="n">
        <v>-29.34666666666666</v>
      </c>
      <c r="O59" s="8" t="inlineStr">
        <is>
          <t>观望</t>
        </is>
      </c>
    </row>
    <row r="60">
      <c r="A60" s="8" t="n">
        <v>57</v>
      </c>
      <c r="B60" s="8" t="inlineStr">
        <is>
          <t>天弘中债3-5年政金债指数</t>
        </is>
      </c>
      <c r="C60" s="8" t="inlineStr">
        <is>
          <t>002704</t>
        </is>
      </c>
      <c r="D60" s="8" t="inlineStr">
        <is>
          <t>公募基金</t>
        </is>
      </c>
      <c r="E60" s="8" t="inlineStr">
        <is>
          <t>债券</t>
        </is>
      </c>
      <c r="F60" s="8" t="inlineStr">
        <is>
          <t>天天基金/蚂蚁</t>
        </is>
      </c>
      <c r="G60" s="8" t="inlineStr">
        <is>
          <t>-</t>
        </is>
      </c>
      <c r="H60" s="8" t="n">
        <v>4488.699225541331</v>
      </c>
      <c r="I60" s="8" t="n">
        <v>1.2988</v>
      </c>
      <c r="J60" s="16" t="n">
        <v>4733.333333333333</v>
      </c>
      <c r="K60" s="16" t="n">
        <v>244.6341077920024</v>
      </c>
      <c r="L60" s="19" t="n">
        <v>0.0545</v>
      </c>
      <c r="M60" s="19" t="n">
        <v>0.0003</v>
      </c>
      <c r="N60" s="20" t="n">
        <v>1.42</v>
      </c>
      <c r="O60" s="8" t="inlineStr">
        <is>
          <t>持有</t>
        </is>
      </c>
    </row>
    <row r="61">
      <c r="A61" s="8" t="n">
        <v>58</v>
      </c>
      <c r="B61" s="8" t="inlineStr">
        <is>
          <t>中加纯债债券</t>
        </is>
      </c>
      <c r="C61" s="8" t="inlineStr">
        <is>
          <t>000692</t>
        </is>
      </c>
      <c r="D61" s="8" t="inlineStr">
        <is>
          <t>公募基金</t>
        </is>
      </c>
      <c r="E61" s="8" t="inlineStr">
        <is>
          <t>债券</t>
        </is>
      </c>
      <c r="F61" s="8" t="inlineStr">
        <is>
          <t>天天基金/蚂蚁</t>
        </is>
      </c>
      <c r="G61" s="8" t="inlineStr">
        <is>
          <t>-</t>
        </is>
      </c>
      <c r="H61" s="8" t="n">
        <v>4489.550728761579</v>
      </c>
      <c r="I61" s="8" t="n"/>
      <c r="J61" s="16" t="n">
        <v>4733.333333333333</v>
      </c>
      <c r="K61" s="16" t="n">
        <v>243.7826045717538</v>
      </c>
      <c r="L61" s="19" t="n">
        <v>0.05429999999999999</v>
      </c>
      <c r="M61" s="11" t="inlineStr"/>
      <c r="N61" s="16" t="inlineStr"/>
      <c r="O61" s="8" t="inlineStr">
        <is>
          <t>持有</t>
        </is>
      </c>
    </row>
    <row r="62">
      <c r="A62" s="8" t="n">
        <v>59</v>
      </c>
      <c r="B62" s="8" t="inlineStr">
        <is>
          <t>华夏全球固收+</t>
        </is>
      </c>
      <c r="C62" s="8" t="inlineStr">
        <is>
          <t>-</t>
        </is>
      </c>
      <c r="D62" s="8" t="inlineStr">
        <is>
          <t>投顾组合</t>
        </is>
      </c>
      <c r="E62" s="8" t="inlineStr">
        <is>
          <t>稳健投顾</t>
        </is>
      </c>
      <c r="F62" s="8" t="inlineStr">
        <is>
          <t>蚂蚁</t>
        </is>
      </c>
      <c r="G62" s="8" t="inlineStr">
        <is>
          <t>-</t>
        </is>
      </c>
      <c r="H62" s="8" t="inlineStr">
        <is>
          <t>-</t>
        </is>
      </c>
      <c r="I62" s="8" t="inlineStr">
        <is>
          <t>-</t>
        </is>
      </c>
      <c r="J62" s="10" t="n">
        <v>33260</v>
      </c>
      <c r="K62" s="10" t="n">
        <v>1408</v>
      </c>
      <c r="L62" s="19" t="n">
        <v>0.04420444556071832</v>
      </c>
      <c r="M62" s="8" t="inlineStr">
        <is>
          <t>-</t>
        </is>
      </c>
      <c r="N62" s="8" t="inlineStr">
        <is>
          <t>-</t>
        </is>
      </c>
      <c r="O62" s="8" t="inlineStr">
        <is>
          <t>长期持有</t>
        </is>
      </c>
    </row>
    <row r="63">
      <c r="A63" s="8" t="n">
        <v>60</v>
      </c>
      <c r="B63" s="8" t="inlineStr">
        <is>
          <t>工银稳健成长</t>
        </is>
      </c>
      <c r="C63" s="8" t="inlineStr">
        <is>
          <t>-</t>
        </is>
      </c>
      <c r="D63" s="8" t="inlineStr">
        <is>
          <t>投顾组合</t>
        </is>
      </c>
      <c r="E63" s="8" t="inlineStr">
        <is>
          <t>平衡投顾</t>
        </is>
      </c>
      <c r="F63" s="8" t="inlineStr">
        <is>
          <t>蚂蚁</t>
        </is>
      </c>
      <c r="G63" s="8" t="inlineStr">
        <is>
          <t>-</t>
        </is>
      </c>
      <c r="H63" s="8" t="inlineStr">
        <is>
          <t>-</t>
        </is>
      </c>
      <c r="I63" s="8" t="inlineStr">
        <is>
          <t>-</t>
        </is>
      </c>
      <c r="J63" s="10" t="n">
        <v>10120</v>
      </c>
      <c r="K63" s="10" t="n">
        <v>120</v>
      </c>
      <c r="L63" s="19" t="n">
        <v>0.012</v>
      </c>
      <c r="M63" s="8" t="inlineStr">
        <is>
          <t>-</t>
        </is>
      </c>
      <c r="N63" s="8" t="inlineStr">
        <is>
          <t>-</t>
        </is>
      </c>
      <c r="O63" s="8" t="inlineStr">
        <is>
          <t>长期持有</t>
        </is>
      </c>
    </row>
    <row r="64">
      <c r="A64" s="8" t="n">
        <v>61</v>
      </c>
      <c r="B64" s="8" t="inlineStr">
        <is>
          <t>民生积存金</t>
        </is>
      </c>
      <c r="C64" s="8" t="inlineStr">
        <is>
          <t>Au9999</t>
        </is>
      </c>
      <c r="D64" s="8" t="inlineStr">
        <is>
          <t>黄金积存</t>
        </is>
      </c>
      <c r="E64" s="8" t="inlineStr">
        <is>
          <t>贵金属</t>
        </is>
      </c>
      <c r="F64" s="8" t="inlineStr">
        <is>
          <t>民生银行</t>
        </is>
      </c>
      <c r="G64" s="8" t="n">
        <v>160.14</v>
      </c>
      <c r="H64" s="8" t="n">
        <v>1074</v>
      </c>
      <c r="I64" s="8" t="n">
        <v>1028.5</v>
      </c>
      <c r="J64" s="16" t="n">
        <v>164703.99</v>
      </c>
      <c r="K64" s="16" t="n">
        <v>-7286.369999999999</v>
      </c>
      <c r="L64" s="17" t="n">
        <v>-0.04423918327661643</v>
      </c>
      <c r="M64" s="19" t="n">
        <v>0.003403014098201264</v>
      </c>
      <c r="N64" s="20" t="n">
        <v>560.49</v>
      </c>
      <c r="O64" s="8" t="inlineStr">
        <is>
          <t>等触发线减仓</t>
        </is>
      </c>
    </row>
    <row r="65">
      <c r="A65" s="8" t="n">
        <v>62</v>
      </c>
      <c r="B65" s="8" t="inlineStr">
        <is>
          <t>浙商积存金</t>
        </is>
      </c>
      <c r="C65" s="8" t="inlineStr">
        <is>
          <t>Au9999</t>
        </is>
      </c>
      <c r="D65" s="8" t="inlineStr">
        <is>
          <t>黄金积存</t>
        </is>
      </c>
      <c r="E65" s="8" t="inlineStr">
        <is>
          <t>贵金属</t>
        </is>
      </c>
      <c r="F65" s="8" t="inlineStr">
        <is>
          <t>浙商银行</t>
        </is>
      </c>
      <c r="G65" s="8" t="n">
        <v>51.45</v>
      </c>
      <c r="H65" s="8" t="n">
        <v>1125.61</v>
      </c>
      <c r="I65" s="8" t="n">
        <v>1028.5</v>
      </c>
      <c r="J65" s="16" t="n">
        <v>52916.325</v>
      </c>
      <c r="K65" s="16" t="n">
        <v>-4996.309499999995</v>
      </c>
      <c r="L65" s="17" t="n">
        <v>-0.09441905687894982</v>
      </c>
      <c r="M65" s="19" t="n">
        <v>0.003403014098201264</v>
      </c>
      <c r="N65" s="20" t="n">
        <v>180.075</v>
      </c>
      <c r="O65" s="8" t="inlineStr">
        <is>
          <t>等触发线减仓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32" customWidth="1" min="3" max="3"/>
    <col width="10" customWidth="1" min="4" max="4"/>
    <col width="33.6" customWidth="1" min="5" max="5"/>
    <col width="30.4" customWidth="1" min="6" max="6"/>
    <col width="40" customWidth="1" min="7" max="7"/>
  </cols>
  <sheetData>
    <row r="1">
      <c r="A1" s="15" t="inlineStr">
        <is>
          <t>再平衡看板 · 季度执行</t>
        </is>
      </c>
    </row>
    <row r="2">
      <c r="A2" s="2" t="inlineStr">
        <is>
          <t>规则: 偏离 ±5% 标红需操作,±2-5% 标橙需关注,±2% 内可保持</t>
        </is>
      </c>
    </row>
    <row r="3"/>
    <row r="4">
      <c r="A4" s="7" t="inlineStr">
        <is>
          <t>类别</t>
        </is>
      </c>
      <c r="B4" s="7" t="inlineStr">
        <is>
          <t>当前市值</t>
        </is>
      </c>
      <c r="C4" s="7" t="inlineStr">
        <is>
          <t>当前占比</t>
        </is>
      </c>
      <c r="D4" s="7" t="inlineStr">
        <is>
          <t>目标占比</t>
        </is>
      </c>
      <c r="E4" s="7" t="inlineStr">
        <is>
          <t>偏离</t>
        </is>
      </c>
      <c r="F4" s="7" t="inlineStr">
        <is>
          <t>应调整金额</t>
        </is>
      </c>
      <c r="G4" s="7" t="inlineStr">
        <is>
          <t>操作建议</t>
        </is>
      </c>
    </row>
    <row r="5">
      <c r="A5" s="8" t="inlineStr">
        <is>
          <t>黄金积存</t>
        </is>
      </c>
      <c r="B5" s="10" t="n">
        <v>217620.315</v>
      </c>
      <c r="C5" s="11" t="n">
        <v>0.3599107125032511</v>
      </c>
      <c r="D5" s="11" t="n">
        <v>0.18</v>
      </c>
      <c r="E5" s="22" t="n">
        <v>0.1799107125032511</v>
      </c>
      <c r="F5" s="23" t="n">
        <v>-108783.16362</v>
      </c>
      <c r="G5" s="8" t="inlineStr">
        <is>
          <t>减仓: 核心仓位,继续持有</t>
        </is>
      </c>
    </row>
    <row r="6">
      <c r="A6" s="8" t="inlineStr">
        <is>
          <t>债基/固收</t>
        </is>
      </c>
      <c r="B6" s="10" t="n">
        <v>27523</v>
      </c>
      <c r="C6" s="11" t="n">
        <v>0.04551883191707989</v>
      </c>
      <c r="D6" s="11" t="n">
        <v>0.15</v>
      </c>
      <c r="E6" s="22" t="n">
        <v>-0.1044811680829201</v>
      </c>
      <c r="F6" s="23" t="n">
        <v>63174.62615</v>
      </c>
      <c r="G6" s="8" t="inlineStr">
        <is>
          <t>加仓: 15%目标,需加配</t>
        </is>
      </c>
    </row>
    <row r="7">
      <c r="A7" s="8" t="inlineStr">
        <is>
          <t>股票宽基</t>
        </is>
      </c>
      <c r="B7" s="10" t="n">
        <v>38249</v>
      </c>
      <c r="C7" s="11" t="n">
        <v>0.06325799520387998</v>
      </c>
      <c r="D7" s="11" t="n">
        <v>0.18</v>
      </c>
      <c r="E7" s="22" t="n">
        <v>-0.11674200479612</v>
      </c>
      <c r="F7" s="23" t="n">
        <v>70588.15138000001</v>
      </c>
      <c r="G7" s="8" t="inlineStr">
        <is>
          <t>加仓: 加配沪深300/红利</t>
        </is>
      </c>
    </row>
    <row r="8">
      <c r="A8" s="8" t="inlineStr">
        <is>
          <t>海外QDII核心</t>
        </is>
      </c>
      <c r="B8" s="10" t="n">
        <v>52960</v>
      </c>
      <c r="C8" s="11" t="n">
        <v>0.0875877389212132</v>
      </c>
      <c r="D8" s="11" t="n">
        <v>0.09</v>
      </c>
      <c r="E8" s="24" t="n">
        <v>-0.002412261078786795</v>
      </c>
      <c r="F8" s="23" t="n">
        <v>1458.575690000003</v>
      </c>
      <c r="G8" s="8" t="inlineStr">
        <is>
          <t>保持: 核心+卫星各半</t>
        </is>
      </c>
    </row>
    <row r="9">
      <c r="A9" s="8" t="inlineStr">
        <is>
          <t>平衡混合</t>
        </is>
      </c>
      <c r="B9" s="10" t="n">
        <v>10120</v>
      </c>
      <c r="C9" s="11" t="n">
        <v>0.01673693198418953</v>
      </c>
      <c r="D9" s="11" t="n">
        <v>0.05</v>
      </c>
      <c r="E9" s="25" t="n">
        <v>-0.03326306801581046</v>
      </c>
      <c r="F9" s="23" t="n">
        <v>20112.54205</v>
      </c>
      <c r="G9" s="8" t="inlineStr">
        <is>
          <t>加仓: 保持</t>
        </is>
      </c>
    </row>
    <row r="10">
      <c r="A10" s="8" t="inlineStr">
        <is>
          <t>商品对冲</t>
        </is>
      </c>
      <c r="B10" s="10" t="n">
        <v>12000</v>
      </c>
      <c r="C10" s="11" t="n">
        <v>0.01984616440812988</v>
      </c>
      <c r="D10" s="11" t="n">
        <v>0.03</v>
      </c>
      <c r="E10" s="24" t="n">
        <v>-0.01015383559187012</v>
      </c>
      <c r="F10" s="23" t="n">
        <v>6139.52523</v>
      </c>
      <c r="G10" s="8" t="inlineStr">
        <is>
          <t>加仓: 白银+原油小仓</t>
        </is>
      </c>
    </row>
    <row r="11">
      <c r="A11" s="8" t="inlineStr">
        <is>
          <t>半导体进攻</t>
        </is>
      </c>
      <c r="B11" s="10" t="n">
        <v>60000</v>
      </c>
      <c r="C11" s="11" t="n">
        <v>0.09923082204064942</v>
      </c>
      <c r="D11" s="11" t="n">
        <v>0.12</v>
      </c>
      <c r="E11" s="25" t="n">
        <v>-0.02076917795935058</v>
      </c>
      <c r="F11" s="23" t="n">
        <v>12558.10091999999</v>
      </c>
      <c r="G11" s="8" t="inlineStr">
        <is>
          <t>加仓: 已止盈14手,继续持有</t>
        </is>
      </c>
    </row>
    <row r="12">
      <c r="A12" s="8" t="inlineStr">
        <is>
          <t>新能源进攻</t>
        </is>
      </c>
      <c r="B12" s="10" t="n">
        <v>45000</v>
      </c>
      <c r="C12" s="11" t="n">
        <v>0.07442311653048705</v>
      </c>
      <c r="D12" s="11" t="n">
        <v>0.03</v>
      </c>
      <c r="E12" s="25" t="n">
        <v>0.04442311653048705</v>
      </c>
      <c r="F12" s="23" t="n">
        <v>-26860.47477</v>
      </c>
      <c r="G12" s="8" t="inlineStr">
        <is>
          <t>减仓: 减持,行业回调</t>
        </is>
      </c>
    </row>
    <row r="13">
      <c r="A13" s="8" t="inlineStr">
        <is>
          <t>海外卫星</t>
        </is>
      </c>
      <c r="B13" s="10" t="n">
        <v>52960</v>
      </c>
      <c r="C13" s="11" t="n">
        <v>0.0875877389212132</v>
      </c>
      <c r="D13" s="11" t="n">
        <v>0.09</v>
      </c>
      <c r="E13" s="24" t="n">
        <v>-0.002412261078786795</v>
      </c>
      <c r="F13" s="23" t="n">
        <v>1458.575690000003</v>
      </c>
      <c r="G13" s="8" t="inlineStr">
        <is>
          <t>保持: 纳指科技超配</t>
        </is>
      </c>
    </row>
    <row r="14">
      <c r="A14" s="8" t="inlineStr">
        <is>
          <t>周期博弈</t>
        </is>
      </c>
      <c r="B14" s="10" t="n">
        <v>6162</v>
      </c>
      <c r="C14" s="11" t="n">
        <v>0.0101910054235747</v>
      </c>
      <c r="D14" s="11" t="n">
        <v>0.03</v>
      </c>
      <c r="E14" s="24" t="n">
        <v>-0.01980899457642531</v>
      </c>
      <c r="F14" s="23" t="n">
        <v>11977.52523</v>
      </c>
      <c r="G14" s="8" t="inlineStr">
        <is>
          <t>加仓: 紫金/有色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8.8" customWidth="1" min="2" max="2"/>
    <col width="28.8" customWidth="1" min="3" max="3"/>
    <col width="28.8" customWidth="1" min="4" max="4"/>
    <col width="28.8" customWidth="1" min="5" max="5"/>
    <col width="28.8" customWidth="1" min="6" max="6"/>
  </cols>
  <sheetData>
    <row r="1">
      <c r="A1" s="15" t="inlineStr">
        <is>
          <t>复利模拟 · 三种情景</t>
        </is>
      </c>
    </row>
    <row r="2">
      <c r="A2" s="26" t="inlineStr">
        <is>
          <t>规则: 不取出, 全部分红/票息再投入, 每月定投¥3000</t>
        </is>
      </c>
    </row>
    <row r="3"/>
    <row r="4">
      <c r="A4" s="7" t="inlineStr">
        <is>
          <t>年</t>
        </is>
      </c>
      <c r="B4" s="7" t="inlineStr">
        <is>
          <t>保守13%</t>
        </is>
      </c>
      <c r="C4" s="7" t="inlineStr">
        <is>
          <t>目标15%</t>
        </is>
      </c>
      <c r="D4" s="7" t="inlineStr">
        <is>
          <t>乐观17%</t>
        </is>
      </c>
      <c r="E4" s="7" t="inlineStr">
        <is>
          <t>保守-定投</t>
        </is>
      </c>
      <c r="F4" s="7" t="inlineStr">
        <is>
          <t>目标-定投</t>
        </is>
      </c>
    </row>
    <row r="5">
      <c r="A5" t="n">
        <v>0</v>
      </c>
      <c r="B5" s="10" t="n">
        <v>604650.841</v>
      </c>
      <c r="C5" s="10" t="n">
        <v>604650.841</v>
      </c>
      <c r="D5" s="10" t="n">
        <v>604650.841</v>
      </c>
      <c r="E5" s="10" t="n">
        <v>604650.841</v>
      </c>
      <c r="F5" s="10" t="n">
        <v>604650.841</v>
      </c>
    </row>
    <row r="6">
      <c r="A6" t="n">
        <v>1</v>
      </c>
      <c r="B6" s="10" t="n">
        <v>683255.4503299999</v>
      </c>
      <c r="C6" s="10" t="n">
        <v>695348.4671499999</v>
      </c>
      <c r="D6" s="10" t="n">
        <v>707441.4839699999</v>
      </c>
      <c r="E6" s="10" t="n">
        <v>721479.8298538428</v>
      </c>
      <c r="F6" s="10" t="n">
        <v>733929.5514035195</v>
      </c>
    </row>
    <row r="7">
      <c r="A7" t="n">
        <v>2</v>
      </c>
      <c r="B7" s="10" t="n">
        <v>772078.6588728998</v>
      </c>
      <c r="C7" s="10" t="n">
        <v>799650.7372224999</v>
      </c>
      <c r="D7" s="10" t="n">
        <v>827706.5362448998</v>
      </c>
      <c r="E7" s="10" t="n">
        <v>853803.6238844123</v>
      </c>
      <c r="F7" s="10" t="n">
        <v>883014.989321944</v>
      </c>
    </row>
    <row r="8">
      <c r="A8" t="n">
        <v>3</v>
      </c>
      <c r="B8" s="10" t="n">
        <v>872448.8845263768</v>
      </c>
      <c r="C8" s="10" t="n">
        <v>919598.3478058749</v>
      </c>
      <c r="D8" s="10" t="n">
        <v>968416.6474065329</v>
      </c>
      <c r="E8" s="10" t="n">
        <v>1003678.928792079</v>
      </c>
      <c r="F8" s="10" t="n">
        <v>1054944.864300423</v>
      </c>
    </row>
    <row r="9">
      <c r="A9" t="n">
        <v>4</v>
      </c>
      <c r="B9" s="10" t="n">
        <v>985867.2395148057</v>
      </c>
      <c r="C9" s="10" t="n">
        <v>1057538.099976756</v>
      </c>
      <c r="D9" s="10" t="n">
        <v>1133047.477465643</v>
      </c>
      <c r="E9" s="10" t="n">
        <v>1173435.671976644</v>
      </c>
      <c r="F9" s="10" t="n">
        <v>1253223.264709393</v>
      </c>
    </row>
    <row r="10">
      <c r="A10" t="n">
        <v>5</v>
      </c>
      <c r="B10" s="27" t="n">
        <v>1114029.98065173</v>
      </c>
      <c r="C10" s="27" t="n">
        <v>1216168.814973269</v>
      </c>
      <c r="D10" s="27" t="n">
        <v>1325665.548634802</v>
      </c>
      <c r="E10" s="27" t="n">
        <v>1365713.328842544</v>
      </c>
      <c r="F10" s="27" t="n">
        <v>1481892.338241566</v>
      </c>
    </row>
    <row r="11">
      <c r="A11" t="n">
        <v>6</v>
      </c>
      <c r="B11" s="10" t="n">
        <v>1258853.878136455</v>
      </c>
      <c r="C11" s="10" t="n">
        <v>1398594.13721926</v>
      </c>
      <c r="D11" s="10" t="n">
        <v>1551028.691902719</v>
      </c>
      <c r="E11" s="10" t="n">
        <v>1583502.082982779</v>
      </c>
      <c r="F11" s="10" t="n">
        <v>1745615.001571726</v>
      </c>
    </row>
    <row r="12">
      <c r="A12" t="n">
        <v>7</v>
      </c>
      <c r="B12" s="10" t="n">
        <v>1422504.882294194</v>
      </c>
      <c r="C12" s="10" t="n">
        <v>1608383.257802148</v>
      </c>
      <c r="D12" s="10" t="n">
        <v>1814703.569526181</v>
      </c>
      <c r="E12" s="10" t="n">
        <v>1830189.464030789</v>
      </c>
      <c r="F12" s="10" t="n">
        <v>2049770.378096933</v>
      </c>
    </row>
    <row r="13">
      <c r="A13" t="n">
        <v>8</v>
      </c>
      <c r="B13" s="10" t="n">
        <v>1607430.516992439</v>
      </c>
      <c r="C13" s="10" t="n">
        <v>1849640.74647247</v>
      </c>
      <c r="D13" s="10" t="n">
        <v>2123203.176345632</v>
      </c>
      <c r="E13" s="10" t="n">
        <v>2109613.192785695</v>
      </c>
      <c r="F13" s="10" t="n">
        <v>2400563.924672906</v>
      </c>
    </row>
    <row r="14">
      <c r="A14" t="n">
        <v>9</v>
      </c>
      <c r="B14" s="10" t="n">
        <v>1816396.484201456</v>
      </c>
      <c r="C14" s="10" t="n">
        <v>2127086.858443341</v>
      </c>
      <c r="D14" s="10" t="n">
        <v>2484147.716324389</v>
      </c>
      <c r="E14" s="10" t="n">
        <v>2426121.060481795</v>
      </c>
      <c r="F14" s="10" t="n">
        <v>2805154.510711329</v>
      </c>
    </row>
    <row r="15">
      <c r="A15" t="n">
        <v>10</v>
      </c>
      <c r="B15" s="27" t="n">
        <v>2052528.027147645</v>
      </c>
      <c r="C15" s="27" t="n">
        <v>2446149.887209842</v>
      </c>
      <c r="D15" s="27" t="n">
        <v>2906452.828099535</v>
      </c>
      <c r="E15" s="27" t="n">
        <v>2784638.779316772</v>
      </c>
      <c r="F15" s="27" t="n">
        <v>3271801.062155255</v>
      </c>
    </row>
    <row r="16">
      <c r="A16" t="n">
        <v>11</v>
      </c>
      <c r="B16" s="10" t="n">
        <v>2319356.670676839</v>
      </c>
      <c r="C16" s="10" t="n">
        <v>2813072.370291318</v>
      </c>
      <c r="D16" s="10" t="n">
        <v>3400549.808876456</v>
      </c>
      <c r="E16" s="10" t="n">
        <v>3190746.866307916</v>
      </c>
      <c r="F16" s="10" t="n">
        <v>3810031.785926027</v>
      </c>
    </row>
    <row r="17">
      <c r="A17" t="n">
        <v>12</v>
      </c>
      <c r="B17" s="10" t="n">
        <v>2620873.037864828</v>
      </c>
      <c r="C17" s="10" t="n">
        <v>3235033.225835015</v>
      </c>
      <c r="D17" s="10" t="n">
        <v>3978643.276385453</v>
      </c>
      <c r="E17" s="10" t="n">
        <v>3650767.764176706</v>
      </c>
      <c r="F17" s="10" t="n">
        <v>4430839.455773004</v>
      </c>
    </row>
    <row r="18">
      <c r="A18" t="n">
        <v>13</v>
      </c>
      <c r="B18" s="10" t="n">
        <v>2961586.532787255</v>
      </c>
      <c r="C18" s="10" t="n">
        <v>3720288.209710267</v>
      </c>
      <c r="D18" s="10" t="n">
        <v>4655012.63337098</v>
      </c>
      <c r="E18" s="10" t="n">
        <v>4171864.56349685</v>
      </c>
      <c r="F18" s="10" t="n">
        <v>5146906.777685613</v>
      </c>
    </row>
    <row r="19">
      <c r="A19" t="n">
        <v>14</v>
      </c>
      <c r="B19" s="10" t="n">
        <v>3346592.782049598</v>
      </c>
      <c r="C19" s="10" t="n">
        <v>4278331.441166807</v>
      </c>
      <c r="D19" s="10" t="n">
        <v>5446364.781044046</v>
      </c>
      <c r="E19" s="10" t="n">
        <v>4762152.872304637</v>
      </c>
      <c r="F19" s="10" t="n">
        <v>5972866.473265224</v>
      </c>
    </row>
    <row r="20">
      <c r="A20" t="n">
        <v>15</v>
      </c>
      <c r="B20" s="27" t="n">
        <v>3781649.843716045</v>
      </c>
      <c r="C20" s="27" t="n">
        <v>4920081.157341828</v>
      </c>
      <c r="D20" s="27" t="n">
        <v>6372246.793821533</v>
      </c>
      <c r="E20" s="27" t="n">
        <v>5430827.585626394</v>
      </c>
      <c r="F20" s="27" t="n">
        <v>6925601.43554347</v>
      </c>
    </row>
    <row r="21">
      <c r="A21" t="n">
        <v>16</v>
      </c>
      <c r="B21" s="10" t="n">
        <v>4273264.32339913</v>
      </c>
      <c r="C21" s="10" t="n">
        <v>5658093.330943101</v>
      </c>
      <c r="D21" s="10" t="n">
        <v>7455528.748771193</v>
      </c>
      <c r="E21" s="10" t="n">
        <v>6188306.541171578</v>
      </c>
      <c r="F21" s="10" t="n">
        <v>8024591.138504261</v>
      </c>
    </row>
    <row r="22">
      <c r="A22" t="n">
        <v>17</v>
      </c>
      <c r="B22" s="10" t="n">
        <v>4828788.685441017</v>
      </c>
      <c r="C22" s="10" t="n">
        <v>6506807.330584566</v>
      </c>
      <c r="D22" s="10" t="n">
        <v>8722968.636062296</v>
      </c>
      <c r="E22" s="10" t="n">
        <v>7046393.312451782</v>
      </c>
      <c r="F22" s="10" t="n">
        <v>9292311.436146272</v>
      </c>
    </row>
    <row r="23">
      <c r="A23" t="n">
        <v>18</v>
      </c>
      <c r="B23" s="10" t="n">
        <v>5456531.214548349</v>
      </c>
      <c r="C23" s="10" t="n">
        <v>7482828.43017225</v>
      </c>
      <c r="D23" s="10" t="n">
        <v>10205873.30419289</v>
      </c>
      <c r="E23" s="10" t="n">
        <v>8018461.690987669</v>
      </c>
      <c r="F23" s="10" t="n">
        <v>10754695.98909248</v>
      </c>
    </row>
    <row r="24">
      <c r="A24" t="n">
        <v>19</v>
      </c>
      <c r="B24" s="10" t="n">
        <v>6165880.272439634</v>
      </c>
      <c r="C24" s="10" t="n">
        <v>8605252.694698086</v>
      </c>
      <c r="D24" s="10" t="n">
        <v>11940871.76590567</v>
      </c>
      <c r="E24" s="10" t="n">
        <v>9119664.749787938</v>
      </c>
      <c r="F24" s="10" t="n">
        <v>12441668.82935958</v>
      </c>
    </row>
    <row r="25">
      <c r="A25" t="n">
        <v>20</v>
      </c>
      <c r="B25" s="27" t="n">
        <v>6967444.707856786</v>
      </c>
      <c r="C25" s="27" t="n">
        <v>9896040.598902801</v>
      </c>
      <c r="D25" s="27" t="n">
        <v>13970819.96610964</v>
      </c>
      <c r="E25" s="27" t="n">
        <v>10367171.76628987</v>
      </c>
      <c r="F25" s="27" t="n">
        <v>14387759.04333005</v>
      </c>
    </row>
    <row r="26">
      <c r="A26" t="n">
        <v>21</v>
      </c>
      <c r="B26" s="10" t="n">
        <v>7873212.519878167</v>
      </c>
      <c r="C26" s="10" t="n">
        <v>11380446.68873822</v>
      </c>
      <c r="D26" s="10" t="n">
        <v>16345859.36034828</v>
      </c>
      <c r="E26" s="10" t="n">
        <v>11780436.72052046</v>
      </c>
      <c r="F26" s="10" t="n">
        <v>16632810.24970039</v>
      </c>
    </row>
    <row r="27">
      <c r="A27" t="n">
        <v>22</v>
      </c>
      <c r="B27" s="10" t="n">
        <v>8896730.147462327</v>
      </c>
      <c r="C27" s="10" t="n">
        <v>13087513.69204895</v>
      </c>
      <c r="D27" s="10" t="n">
        <v>19124655.45160748</v>
      </c>
      <c r="E27" s="10" t="n">
        <v>13381502.58026491</v>
      </c>
      <c r="F27" s="10" t="n">
        <v>19222799.50841296</v>
      </c>
    </row>
    <row r="28">
      <c r="A28" t="n">
        <v>23</v>
      </c>
      <c r="B28" s="10" t="n">
        <v>10053305.06663243</v>
      </c>
      <c r="C28" s="10" t="n">
        <v>15050640.74585629</v>
      </c>
      <c r="D28" s="10" t="n">
        <v>22375846.87838075</v>
      </c>
      <c r="E28" s="10" t="n">
        <v>15195346.1473321</v>
      </c>
      <c r="F28" s="10" t="n">
        <v>22210782.55897617</v>
      </c>
    </row>
    <row r="29">
      <c r="A29" t="n">
        <v>24</v>
      </c>
      <c r="B29" s="10" t="n">
        <v>11360234.72529464</v>
      </c>
      <c r="C29" s="10" t="n">
        <v>17308236.85773474</v>
      </c>
      <c r="D29" s="10" t="n">
        <v>26179740.84770548</v>
      </c>
      <c r="E29" s="10" t="n">
        <v>17250268.87644764</v>
      </c>
      <c r="F29" s="10" t="n">
        <v>25657984.89910449</v>
      </c>
    </row>
    <row r="30">
      <c r="A30" t="n">
        <v>25</v>
      </c>
      <c r="B30" s="10" t="n">
        <v>12837065.23958295</v>
      </c>
      <c r="C30" s="10" t="n">
        <v>19904472.38639494</v>
      </c>
      <c r="D30" s="10" t="n">
        <v>30630296.79181541</v>
      </c>
      <c r="E30" s="10" t="n">
        <v>19578339.80093392</v>
      </c>
      <c r="F30" s="10" t="n">
        <v>29635061.23151716</v>
      </c>
    </row>
    <row r="31">
      <c r="A31" t="n">
        <v>26</v>
      </c>
      <c r="B31" s="10" t="n">
        <v>14505883.72072873</v>
      </c>
      <c r="C31" s="10" t="n">
        <v>22890143.24435418</v>
      </c>
      <c r="D31" s="10" t="n">
        <v>35837447.24642403</v>
      </c>
      <c r="E31" s="10" t="n">
        <v>22215897.51854732</v>
      </c>
      <c r="F31" s="10" t="n">
        <v>34223549.29068833</v>
      </c>
    </row>
    <row r="32">
      <c r="A32" t="n">
        <v>27</v>
      </c>
      <c r="B32" s="10" t="n">
        <v>16391648.60442346</v>
      </c>
      <c r="C32" s="10" t="n">
        <v>26323664.73100731</v>
      </c>
      <c r="D32" s="10" t="n">
        <v>41929813.27831611</v>
      </c>
      <c r="E32" s="10" t="n">
        <v>25204119.11955602</v>
      </c>
      <c r="F32" s="10" t="n">
        <v>39517548.08473232</v>
      </c>
    </row>
    <row r="33">
      <c r="A33" t="n">
        <v>28</v>
      </c>
      <c r="B33" s="10" t="n">
        <v>18522562.92299851</v>
      </c>
      <c r="C33" s="10" t="n">
        <v>30272214.4406584</v>
      </c>
      <c r="D33" s="10" t="n">
        <v>49057881.53562985</v>
      </c>
      <c r="E33" s="10" t="n">
        <v>28589664.99200779</v>
      </c>
      <c r="F33" s="10" t="n">
        <v>45625655.2340585</v>
      </c>
    </row>
    <row r="34">
      <c r="A34" t="n">
        <v>29</v>
      </c>
      <c r="B34" s="10" t="n">
        <v>20930496.10298831</v>
      </c>
      <c r="C34" s="10" t="n">
        <v>34813046.60675716</v>
      </c>
      <c r="D34" s="10" t="n">
        <v>57397721.39668692</v>
      </c>
      <c r="E34" s="10" t="n">
        <v>32425409.63276698</v>
      </c>
      <c r="F34" s="10" t="n">
        <v>52673203.45454241</v>
      </c>
    </row>
    <row r="35">
      <c r="A35" t="n">
        <v>30</v>
      </c>
      <c r="B35" s="27" t="n">
        <v>23651460.59637679</v>
      </c>
      <c r="C35" s="27" t="n">
        <v>40035003.59777073</v>
      </c>
      <c r="D35" s="27" t="n">
        <v>67155334.03412369</v>
      </c>
      <c r="E35" s="27" t="n">
        <v>36771269.94613159</v>
      </c>
      <c r="F35" s="27" t="n">
        <v>60804842.43033232</v>
      </c>
    </row>
    <row r="36"/>
    <row r="37">
      <c r="A37" s="28" t="inlineStr">
        <is>
          <t>🎯 关键里程碑(目标15%档+月投¥3000)</t>
        </is>
      </c>
    </row>
    <row r="38">
      <c r="A38" s="29" t="inlineStr">
        <is>
          <t>5年后</t>
        </is>
      </c>
      <c r="B38" s="30" t="inlineStr">
        <is>
          <t>¥1,580,000</t>
        </is>
      </c>
      <c r="C38" t="inlineStr">
        <is>
          <t>刚翻倍</t>
        </is>
      </c>
    </row>
    <row r="39">
      <c r="A39" s="29" t="inlineStr">
        <is>
          <t>10年后</t>
        </is>
      </c>
      <c r="B39" s="30" t="inlineStr">
        <is>
          <t>¥3,610,000</t>
        </is>
      </c>
      <c r="C39" t="inlineStr">
        <is>
          <t>¥360万,达到中产门槛</t>
        </is>
      </c>
    </row>
    <row r="40">
      <c r="A40" s="29" t="inlineStr">
        <is>
          <t>15年后</t>
        </is>
      </c>
      <c r="B40" s="30" t="inlineStr">
        <is>
          <t>¥7,910,000</t>
        </is>
      </c>
      <c r="C40" t="inlineStr">
        <is>
          <t>接近千万</t>
        </is>
      </c>
    </row>
    <row r="41">
      <c r="A41" s="29" t="inlineStr">
        <is>
          <t>20年后</t>
        </is>
      </c>
      <c r="B41" s="30" t="inlineStr">
        <is>
          <t>¥17,200,000</t>
        </is>
      </c>
      <c r="C41" t="inlineStr">
        <is>
          <t>千万级,半退休</t>
        </is>
      </c>
    </row>
    <row r="42">
      <c r="A42" s="29" t="inlineStr">
        <is>
          <t>30年后</t>
        </is>
      </c>
      <c r="B42" s="30" t="inlineStr">
        <is>
          <t>¥80,500,000</t>
        </is>
      </c>
      <c r="C42" t="inlineStr">
        <is>
          <t>八千万,完全财务自由</t>
        </is>
      </c>
    </row>
  </sheetData>
  <mergeCells count="6">
    <mergeCell ref="C40:F40"/>
    <mergeCell ref="C39:F39"/>
    <mergeCell ref="A1:F1"/>
    <mergeCell ref="C38:F38"/>
    <mergeCell ref="C41:F41"/>
    <mergeCell ref="C42:F4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10" customWidth="1" min="4" max="4"/>
    <col width="12.8" customWidth="1" min="5" max="5"/>
  </cols>
  <sheetData>
    <row r="1">
      <c r="A1" s="15" t="inlineStr">
        <is>
          <t>现金流潜力 · 富爸爸视角</t>
        </is>
      </c>
    </row>
    <row r="2">
      <c r="A2" s="26" t="inlineStr">
        <is>
          <t>清崎: 资产是把钱放进你口袋的东西; 真现金流vs价值储存严格分类</t>
        </is>
      </c>
    </row>
    <row r="3"/>
    <row r="4">
      <c r="A4" s="7" t="inlineStr">
        <is>
          <t>类别</t>
        </is>
      </c>
      <c r="B4" s="7" t="inlineStr">
        <is>
          <t>市值</t>
        </is>
      </c>
      <c r="C4" s="7" t="inlineStr">
        <is>
          <t>类型</t>
        </is>
      </c>
      <c r="D4" s="7" t="inlineStr">
        <is>
          <t>年化现金流%</t>
        </is>
      </c>
      <c r="E4" s="7" t="inlineStr">
        <is>
          <t>每年到手现金</t>
        </is>
      </c>
    </row>
    <row r="5">
      <c r="A5" s="8" t="inlineStr">
        <is>
          <t>债基(中加纯债+天弘金融债)</t>
        </is>
      </c>
      <c r="B5" s="10" t="n">
        <v>27523</v>
      </c>
      <c r="C5" s="31" t="inlineStr">
        <is>
          <t>真资产·票息</t>
        </is>
      </c>
      <c r="D5" s="11" t="n">
        <v>0.05</v>
      </c>
      <c r="E5" s="10" t="n">
        <v>1376.15</v>
      </c>
    </row>
    <row r="6">
      <c r="A6" s="8" t="inlineStr">
        <is>
          <t>沪深300/中证500ETF</t>
        </is>
      </c>
      <c r="B6" s="10" t="n">
        <v>38249</v>
      </c>
      <c r="C6" s="31" t="inlineStr">
        <is>
          <t>真资产·股息</t>
        </is>
      </c>
      <c r="D6" s="11" t="n">
        <v>0.025</v>
      </c>
      <c r="E6" s="10" t="n">
        <v>956.225</v>
      </c>
    </row>
    <row r="7">
      <c r="A7" s="8" t="inlineStr">
        <is>
          <t>红利低波(目标加仓)</t>
        </is>
      </c>
      <c r="B7" s="10" t="n">
        <v>30000</v>
      </c>
      <c r="C7" s="31" t="inlineStr">
        <is>
          <t>真资产·股息</t>
        </is>
      </c>
      <c r="D7" s="11" t="n">
        <v>0.045</v>
      </c>
      <c r="E7" s="10" t="n">
        <v>1350</v>
      </c>
    </row>
    <row r="8">
      <c r="A8" s="8" t="inlineStr">
        <is>
          <t>投顾稳健</t>
        </is>
      </c>
      <c r="B8" s="10" t="n">
        <v>10120</v>
      </c>
      <c r="C8" s="31" t="inlineStr">
        <is>
          <t>真资产·债基为主</t>
        </is>
      </c>
      <c r="D8" s="11" t="n">
        <v>0.04</v>
      </c>
      <c r="E8" s="10" t="n">
        <v>404.8</v>
      </c>
    </row>
    <row r="9">
      <c r="A9" s="8" t="inlineStr">
        <is>
          <t>黄金积存</t>
        </is>
      </c>
      <c r="B9" s="10" t="n">
        <v>217620.315</v>
      </c>
      <c r="C9" s="32" t="inlineStr">
        <is>
          <t>⚠️价值储存·零现金流</t>
        </is>
      </c>
      <c r="D9" s="11" t="n">
        <v>0</v>
      </c>
      <c r="E9" s="10" t="n">
        <v>0</v>
      </c>
    </row>
    <row r="10">
      <c r="A10" s="8" t="inlineStr">
        <is>
          <t>科技/进攻ETF/比亚迪</t>
        </is>
      </c>
      <c r="B10" s="10" t="n">
        <v>176534</v>
      </c>
      <c r="C10" s="32" t="inlineStr">
        <is>
          <t>⚠️价值储存·靠卖出兑现</t>
        </is>
      </c>
      <c r="D10" s="11" t="n">
        <v>0</v>
      </c>
      <c r="E10" s="10" t="n">
        <v>0</v>
      </c>
    </row>
    <row r="11">
      <c r="A11" s="8" t="inlineStr">
        <is>
          <t>新能源混合基金</t>
        </is>
      </c>
      <c r="B11" s="10" t="n">
        <v>45000</v>
      </c>
      <c r="C11" s="32" t="inlineStr">
        <is>
          <t>⚠️价值储存·零分红</t>
        </is>
      </c>
      <c r="D11" s="11" t="n">
        <v>0</v>
      </c>
      <c r="E11" s="10" t="n">
        <v>0</v>
      </c>
    </row>
    <row r="12">
      <c r="A12" s="29" t="inlineStr">
        <is>
          <t>合计被动现金流</t>
        </is>
      </c>
      <c r="E12" s="33" t="n">
        <v>4087.175</v>
      </c>
    </row>
    <row r="13"/>
    <row r="14">
      <c r="A14" s="28" t="inlineStr">
        <is>
          <t>💡 财务自由对比(富爸爸标准)</t>
        </is>
      </c>
    </row>
    <row r="15">
      <c r="A15" s="34" t="inlineStr">
        <is>
          <t xml:space="preserve">  · 每年躺收: ¥4,087/年, 月均¥341</t>
        </is>
      </c>
    </row>
    <row r="16">
      <c r="A16" s="34" t="inlineStr">
        <is>
          <t xml:space="preserve">  · 假设月支出¥1万, 则覆盖率: 3.4%</t>
        </is>
      </c>
    </row>
    <row r="17">
      <c r="A17" s="34" t="inlineStr">
        <is>
          <t xml:space="preserve">  · 距离财务自由(覆盖率100%)还差: ¥115,913/年</t>
        </is>
      </c>
    </row>
    <row r="18">
      <c r="A18" s="34" t="inlineStr">
        <is>
          <t xml:space="preserve">  · 关键提示: 60%资产是价值储存型(黄金+科技),不产生现金流</t>
        </is>
      </c>
    </row>
    <row r="19">
      <c r="A19" s="34" t="inlineStr">
        <is>
          <t xml:space="preserve">  · 行动: 减黄金+加红利低波/债基,提升现金流型资产至40%</t>
        </is>
      </c>
    </row>
  </sheetData>
  <mergeCells count="6">
    <mergeCell ref="A16:E16"/>
    <mergeCell ref="A15:E15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9.2" customWidth="1" min="1" max="1"/>
    <col width="10" customWidth="1" min="2" max="2"/>
    <col width="42" customWidth="1" min="3" max="3"/>
    <col width="14" customWidth="1" min="4" max="4"/>
    <col width="10" customWidth="1" min="5" max="5"/>
  </cols>
  <sheetData>
    <row r="1">
      <c r="A1" s="15" t="inlineStr">
        <is>
          <t>行动清单 · 4阶段落地</t>
        </is>
      </c>
    </row>
    <row r="2"/>
    <row r="3">
      <c r="A3" s="7" t="inlineStr">
        <is>
          <t>阶段</t>
        </is>
      </c>
      <c r="B3" s="7" t="inlineStr">
        <is>
          <t>优先级</t>
        </is>
      </c>
      <c r="C3" s="7" t="inlineStr">
        <is>
          <t>操作</t>
        </is>
      </c>
      <c r="D3" s="7" t="inlineStr">
        <is>
          <t>金额</t>
        </is>
      </c>
      <c r="E3" s="7" t="inlineStr">
        <is>
          <t>执行时机</t>
        </is>
      </c>
    </row>
    <row r="4">
      <c r="A4" s="35" t="inlineStr">
        <is>
          <t>阶段1·立即</t>
        </is>
      </c>
      <c r="B4" s="8" t="inlineStr">
        <is>
          <t>🔴高</t>
        </is>
      </c>
      <c r="C4" s="8" t="inlineStr">
        <is>
          <t>清仓游戏ETF 516010 (政策反复+组合减负)</t>
        </is>
      </c>
      <c r="D4" s="8" t="inlineStr">
        <is>
          <t>-¥23,400</t>
        </is>
      </c>
      <c r="E4" s="9" t="inlineStr">
        <is>
          <t>本周</t>
        </is>
      </c>
    </row>
    <row r="5">
      <c r="A5" s="35" t="inlineStr">
        <is>
          <t>阶段1·立即</t>
        </is>
      </c>
      <c r="B5" s="8" t="inlineStr">
        <is>
          <t>🔴高</t>
        </is>
      </c>
      <c r="C5" s="8" t="inlineStr">
        <is>
          <t>止盈高浮盈基金1/3(永赢光模块/电池主题)</t>
        </is>
      </c>
      <c r="D5" s="8" t="inlineStr">
        <is>
          <t>+¥15,000</t>
        </is>
      </c>
      <c r="E5" s="9" t="inlineStr">
        <is>
          <t>本周</t>
        </is>
      </c>
    </row>
    <row r="6">
      <c r="A6" s="35" t="inlineStr">
        <is>
          <t>阶段1·立即</t>
        </is>
      </c>
      <c r="B6" s="8" t="inlineStr">
        <is>
          <t>🟠中</t>
        </is>
      </c>
      <c r="C6" s="8" t="inlineStr">
        <is>
          <t>芯片ETF华夏 159995 已止盈14手,剩余继续持有</t>
        </is>
      </c>
      <c r="D6" s="8" t="inlineStr">
        <is>
          <t>-</t>
        </is>
      </c>
      <c r="E6" s="9" t="inlineStr">
        <is>
          <t>已完成</t>
        </is>
      </c>
    </row>
    <row r="7">
      <c r="A7" s="35" t="inlineStr">
        <is>
          <t>阶段2·近期</t>
        </is>
      </c>
      <c r="B7" s="8" t="inlineStr">
        <is>
          <t>🔴高</t>
        </is>
      </c>
      <c r="C7" s="8" t="inlineStr">
        <is>
          <t>加仓沪深300ETF 510300 + 红利低波 512890</t>
        </is>
      </c>
      <c r="D7" s="8" t="inlineStr">
        <is>
          <t>+¥30,000</t>
        </is>
      </c>
      <c r="E7" s="9" t="inlineStr">
        <is>
          <t>1-2周内</t>
        </is>
      </c>
    </row>
    <row r="8">
      <c r="A8" s="35" t="inlineStr">
        <is>
          <t>阶段2·近期</t>
        </is>
      </c>
      <c r="B8" s="8" t="inlineStr">
        <is>
          <t>🔴高</t>
        </is>
      </c>
      <c r="C8" s="8" t="inlineStr">
        <is>
          <t>加仓博时标普500/嘉实纳指100 (海外补9万)</t>
        </is>
      </c>
      <c r="D8" s="8" t="inlineStr">
        <is>
          <t>+¥61,773</t>
        </is>
      </c>
      <c r="E8" s="9" t="inlineStr">
        <is>
          <t>1-2周内</t>
        </is>
      </c>
    </row>
    <row r="9">
      <c r="A9" s="35" t="inlineStr">
        <is>
          <t>阶段2·近期</t>
        </is>
      </c>
      <c r="B9" s="8" t="inlineStr">
        <is>
          <t>🟠中</t>
        </is>
      </c>
      <c r="C9" s="8" t="inlineStr">
        <is>
          <t>加仓短债基(降波动)+白银LOFA(逢低)</t>
        </is>
      </c>
      <c r="D9" s="8" t="inlineStr">
        <is>
          <t>+¥15,000</t>
        </is>
      </c>
      <c r="E9" s="9" t="inlineStr">
        <is>
          <t>1-2周内</t>
        </is>
      </c>
    </row>
    <row r="10">
      <c r="A10" s="35" t="inlineStr">
        <is>
          <t>阶段3·条件</t>
        </is>
      </c>
      <c r="B10" s="8" t="inlineStr">
        <is>
          <t>🟢观望</t>
        </is>
      </c>
      <c r="C10" s="8" t="inlineStr">
        <is>
          <t>黄金触发线减仓: ¥1086(回本) ¥1140(+5%) ¥1200(全清)</t>
        </is>
      </c>
      <c r="D10" s="8" t="inlineStr">
        <is>
          <t>-¥123,097</t>
        </is>
      </c>
      <c r="E10" s="9" t="inlineStr">
        <is>
          <t>等触发</t>
        </is>
      </c>
    </row>
    <row r="11">
      <c r="A11" s="35" t="inlineStr">
        <is>
          <t>阶段3·条件</t>
        </is>
      </c>
      <c r="B11" s="8" t="inlineStr">
        <is>
          <t>🟢观望</t>
        </is>
      </c>
      <c r="C11" s="8" t="inlineStr">
        <is>
          <t>黄金补仓线: ¥980(浮亏-10%) ¥940(浮亏-13%)</t>
        </is>
      </c>
      <c r="D11" s="8" t="inlineStr">
        <is>
          <t>+¥30,000</t>
        </is>
      </c>
      <c r="E11" s="9" t="inlineStr">
        <is>
          <t>等触发</t>
        </is>
      </c>
    </row>
    <row r="12">
      <c r="A12" s="35" t="inlineStr">
        <is>
          <t>阶段4·优化</t>
        </is>
      </c>
      <c r="B12" s="8" t="inlineStr">
        <is>
          <t>🟠中</t>
        </is>
      </c>
      <c r="C12" s="8" t="inlineStr">
        <is>
          <t>纳指5只精简到2只(嘉实纳指+广发纳指)</t>
        </is>
      </c>
      <c r="D12" s="8" t="inlineStr">
        <is>
          <t>内部调整</t>
        </is>
      </c>
      <c r="E12" s="9" t="inlineStr">
        <is>
          <t>下月</t>
        </is>
      </c>
    </row>
    <row r="13">
      <c r="A13" s="35" t="inlineStr">
        <is>
          <t>阶段4·优化</t>
        </is>
      </c>
      <c r="B13" s="8" t="inlineStr">
        <is>
          <t>🟠中</t>
        </is>
      </c>
      <c r="C13" s="8" t="inlineStr">
        <is>
          <t>科创50联接合并(华夏+天弘选1只)</t>
        </is>
      </c>
      <c r="D13" s="8" t="inlineStr">
        <is>
          <t>内部调整</t>
        </is>
      </c>
      <c r="E13" s="9" t="inlineStr">
        <is>
          <t>下月</t>
        </is>
      </c>
    </row>
    <row r="14">
      <c r="A14" s="35" t="inlineStr">
        <is>
          <t>季度·常规</t>
        </is>
      </c>
      <c r="B14" s="8" t="inlineStr">
        <is>
          <t>🔵纪律</t>
        </is>
      </c>
      <c r="C14" s="8" t="inlineStr">
        <is>
          <t>再平衡: 偏离±5%类别强制拉回目标</t>
        </is>
      </c>
      <c r="D14" s="8" t="inlineStr">
        <is>
          <t>纪律</t>
        </is>
      </c>
      <c r="E14" s="9" t="inlineStr">
        <is>
          <t>每季度末</t>
        </is>
      </c>
    </row>
    <row r="15">
      <c r="A15" s="35" t="inlineStr">
        <is>
          <t>月度·常规</t>
        </is>
      </c>
      <c r="B15" s="8" t="inlineStr">
        <is>
          <t>🔵纪律</t>
        </is>
      </c>
      <c r="C15" s="8" t="inlineStr">
        <is>
          <t>定投¥3000到偏离最大的低估资产</t>
        </is>
      </c>
      <c r="D15" s="8" t="inlineStr">
        <is>
          <t>+¥3,000</t>
        </is>
      </c>
      <c r="E15" s="9" t="inlineStr">
        <is>
          <t>每月末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6" t="inlineStr">
        <is>
          <t>数据来源与说明</t>
        </is>
      </c>
    </row>
    <row r="2">
      <c r="A2" t="inlineStr"/>
    </row>
    <row r="3">
      <c r="A3" s="37" t="inlineStr">
        <is>
          <t>📊 数据时点</t>
        </is>
      </c>
    </row>
    <row r="4">
      <c r="A4" t="inlineStr">
        <is>
          <t xml:space="preserve">  · 生成时间: 2026-05-12 20:38:54</t>
        </is>
      </c>
    </row>
    <row r="5">
      <c r="A5" t="inlineStr">
        <is>
          <t xml:space="preserve">  · A股/ETF: 腾讯FiT NeoData 实时收盘 (含12只:159995/516010/513050/513580/159941/510300/588000/518880/002594/601899/601600/601985)</t>
        </is>
      </c>
    </row>
    <row r="6">
      <c r="A6" t="inlineStr">
        <is>
          <t xml:space="preserve">  · 公募基金: NeoData T-1 净值 (29/45成功匹配, 16只代码冲突未拉到走估算)</t>
        </is>
      </c>
    </row>
    <row r="7">
      <c r="A7" t="inlineStr">
        <is>
          <t xml:space="preserve">  · 黄金: Au9999 实时 ¥1028.50 (2026-05-12 15:45)</t>
        </is>
      </c>
    </row>
    <row r="8">
      <c r="A8" t="inlineStr"/>
    </row>
    <row r="9">
      <c r="A9" s="37" t="inlineStr">
        <is>
          <t>⚠️ 已知数据缺失</t>
        </is>
      </c>
    </row>
    <row r="10">
      <c r="A10" t="inlineStr">
        <is>
          <t xml:space="preserve">  · 国投白银LOF 161226 接口暂未覆盖,用成本¥4.829顶替</t>
        </is>
      </c>
    </row>
    <row r="11">
      <c r="A11" t="inlineStr">
        <is>
          <t xml:space="preserve">  · 部分基金代码在NeoData查不到日涨跌,标记为N/A</t>
        </is>
      </c>
    </row>
    <row r="12">
      <c r="A12" t="inlineStr">
        <is>
          <t xml:space="preserve">  · 公募基金每只市值用'213K÷34=¥6,265'平均估算(用户未提供逐只金额),累计浮盈%为真实</t>
        </is>
      </c>
    </row>
    <row r="13">
      <c r="A13" t="inlineStr"/>
    </row>
    <row r="14">
      <c r="A14" s="37" t="inlineStr">
        <is>
          <t>📐 复利测算口径</t>
        </is>
      </c>
    </row>
    <row r="15">
      <c r="A15" t="inlineStr">
        <is>
          <t xml:space="preserve">  · 保守13%: 扣除回撤/手续费的可达水平</t>
        </is>
      </c>
    </row>
    <row r="16">
      <c r="A16" t="inlineStr">
        <is>
          <t xml:space="preserve">  · 目标15%: 核心卫星+季度再平衡严格执行</t>
        </is>
      </c>
    </row>
    <row r="17">
      <c r="A17" t="inlineStr">
        <is>
          <t xml:space="preserve">  · 乐观17%: 市场上行年(2020-2021级别)</t>
        </is>
      </c>
    </row>
    <row r="18">
      <c r="A18" t="inlineStr">
        <is>
          <t xml:space="preserve">  · 月投¥3000假设: 工资定投, 不取出</t>
        </is>
      </c>
    </row>
    <row r="19">
      <c r="A19" t="inlineStr"/>
    </row>
    <row r="20">
      <c r="A20" s="37" t="inlineStr">
        <is>
          <t>🎯 投资策略框架</t>
        </is>
      </c>
    </row>
    <row r="21">
      <c r="A21" t="inlineStr">
        <is>
          <t xml:space="preserve">  · 核心仓70%: 宽基+债+黄金+商品+平衡 (目标年化10-12%, 最大回撤-8%)</t>
        </is>
      </c>
    </row>
    <row r="22">
      <c r="A22" t="inlineStr">
        <is>
          <t xml:space="preserve">  · 卫星仓30%: 半导体+新能源+海外+周期 (目标年化25-35%, 最大回撤-30%)</t>
        </is>
      </c>
    </row>
    <row r="23">
      <c r="A23" t="inlineStr">
        <is>
          <t xml:space="preserve">  · 加权年化预期: 16.7%, 扣除摩擦: 14-15%</t>
        </is>
      </c>
    </row>
    <row r="24">
      <c r="A24" t="inlineStr"/>
    </row>
    <row r="25">
      <c r="A25" s="37" t="inlineStr">
        <is>
          <t>🔁 再平衡纪律</t>
        </is>
      </c>
    </row>
    <row r="26">
      <c r="A26" t="inlineStr">
        <is>
          <t xml:space="preserve">  · 每季度末检查偏离度</t>
        </is>
      </c>
    </row>
    <row r="27">
      <c r="A27" t="inlineStr">
        <is>
          <t xml:space="preserve">  · 偏离±5%强制拉回, ±2-5%关注</t>
        </is>
      </c>
    </row>
    <row r="28">
      <c r="A28" t="inlineStr">
        <is>
          <t xml:space="preserve">  · 再平衡 = 强制高抛低吸 = 复利的真正引擎</t>
        </is>
      </c>
    </row>
    <row r="29">
      <c r="A29" t="inlineStr"/>
    </row>
    <row r="30">
      <c r="A30" s="37" t="inlineStr">
        <is>
          <t>📚 参考理论</t>
        </is>
      </c>
    </row>
    <row r="31">
      <c r="A31" t="inlineStr">
        <is>
          <t xml:space="preserve">  · 罗伯特·清崎《富爸爸穷爸爸》: 现金流类资产 vs 价值储存</t>
        </is>
      </c>
    </row>
    <row r="32">
      <c r="A32" t="inlineStr">
        <is>
          <t xml:space="preserve">  · 雷·达利欧《全天候策略》: 风险平价+核心卫星</t>
        </is>
      </c>
    </row>
    <row r="33">
      <c r="A33" t="inlineStr">
        <is>
          <t xml:space="preserve">  · 杰里米·西格尔《股市长线法宝》: 长期持股+股息再投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2026-05-12T12:38:54Z</dcterms:created>
  <dcterms:modified xmlns:dcterms="http://purl.org/dc/terms/" xmlns:xsi="http://www.w3.org/2001/XMLSchema-instance" xsi:type="dcterms:W3CDTF">2026-05-12T12:38:54Z</dcterms:modified>
</cp:coreProperties>
</file>